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401891\Documents\2TIN\ProjectManagement\Kosten- en batenanalyse oefeningen\"/>
    </mc:Choice>
  </mc:AlternateContent>
  <xr:revisionPtr revIDLastSave="0" documentId="8_{445C08CC-97E4-4F49-80EC-8FBC2B2C2A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1" r:id="rId1"/>
    <sheet name="Blad2" sheetId="2" r:id="rId2"/>
    <sheet name="Blad3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1" l="1"/>
  <c r="B44" i="1"/>
  <c r="C44" i="1"/>
  <c r="D44" i="1"/>
  <c r="E44" i="1"/>
  <c r="F44" i="1"/>
  <c r="A44" i="1"/>
  <c r="B38" i="1"/>
  <c r="C28" i="1"/>
  <c r="D28" i="1" s="1"/>
  <c r="B3" i="1"/>
  <c r="B9" i="1" s="1"/>
  <c r="A35" i="1" s="1"/>
  <c r="B31" i="1"/>
  <c r="B23" i="1"/>
  <c r="B15" i="1"/>
  <c r="C23" i="1"/>
  <c r="C15" i="1"/>
  <c r="D23" i="1"/>
  <c r="D15" i="1"/>
  <c r="E23" i="1"/>
  <c r="E15" i="1"/>
  <c r="F23" i="1"/>
  <c r="F15" i="1"/>
  <c r="C31" i="1" l="1"/>
  <c r="E28" i="1"/>
  <c r="D31" i="1"/>
  <c r="D25" i="1"/>
  <c r="B25" i="1"/>
  <c r="B32" i="1" s="1"/>
  <c r="B35" i="1" s="1"/>
  <c r="B36" i="1" s="1"/>
  <c r="F25" i="1"/>
  <c r="C25" i="1"/>
  <c r="C32" i="1" s="1"/>
  <c r="C35" i="1" s="1"/>
  <c r="E25" i="1"/>
  <c r="D32" i="1" l="1"/>
  <c r="D35" i="1" s="1"/>
  <c r="F28" i="1"/>
  <c r="F31" i="1" s="1"/>
  <c r="F32" i="1" s="1"/>
  <c r="F35" i="1" s="1"/>
  <c r="E31" i="1"/>
  <c r="E32" i="1" s="1"/>
  <c r="E35" i="1" s="1"/>
  <c r="C36" i="1"/>
  <c r="D36" i="1" s="1"/>
  <c r="E36" i="1" l="1"/>
  <c r="F36" i="1" s="1"/>
</calcChain>
</file>

<file path=xl/sharedStrings.xml><?xml version="1.0" encoding="utf-8"?>
<sst xmlns="http://schemas.openxmlformats.org/spreadsheetml/2006/main" count="25" uniqueCount="25">
  <si>
    <t>PROJECTCALCULATIEFORMULIER</t>
  </si>
  <si>
    <t>EENMALIGE KOSTEN</t>
  </si>
  <si>
    <t>TOTAAL EENMALIGE KOSTEN</t>
  </si>
  <si>
    <t>EXPLOITATIE OUDE SYSTEEM</t>
  </si>
  <si>
    <t>TOTALE WERKINGSKOSTEN OS</t>
  </si>
  <si>
    <t>EXPLOITATIE NIEUWE SYSTEEM</t>
  </si>
  <si>
    <t>TOTALE WERKINGKOSTEN  NS</t>
  </si>
  <si>
    <t>TOTALE  BESPARINGEN</t>
  </si>
  <si>
    <t>ANDERE  OPBRENGSTEN</t>
  </si>
  <si>
    <t>TOTAAL  ANDERE OPBRENGSTEN</t>
  </si>
  <si>
    <t>TOTAAL  OPBRENGSTEN</t>
  </si>
  <si>
    <t>Actualiseren van de opbrengsten</t>
  </si>
  <si>
    <t>Gecum. NCW</t>
  </si>
  <si>
    <t>Ontwikkelingskosten</t>
  </si>
  <si>
    <t>Onderhoud van het park</t>
  </si>
  <si>
    <t>Onkosten CRISPR</t>
  </si>
  <si>
    <t>Medicatie dinosaurussen</t>
  </si>
  <si>
    <t>Transportkosten</t>
  </si>
  <si>
    <t>Reclame en marketingkosten</t>
  </si>
  <si>
    <t>Inkomsten bezoekers</t>
  </si>
  <si>
    <t>Inkomsten subsidies</t>
  </si>
  <si>
    <t>NCW</t>
  </si>
  <si>
    <t>TVT</t>
  </si>
  <si>
    <t>?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</si>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</sst>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5" formatCode="&quot;€&quot;\ #,##0.00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222222"/>
      <name val="Arial"/>
      <family val="2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9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0" xfId="0" applyFill="1"/>
    <xf numFmtId="15" fontId="4" fillId="3" borderId="0" xfId="0" applyNumberFormat="1" applyFont="1" applyFill="1"/>
    <xf numFmtId="0" fontId="5" fillId="2" borderId="0" xfId="1"/>
    <xf numFmtId="0" fontId="5" fillId="2" borderId="0" xfId="1" applyAlignment="1">
      <alignment horizontal="center"/>
    </xf>
    <xf numFmtId="9" fontId="0" fillId="0" borderId="0" xfId="0" applyNumberFormat="1"/>
    <xf numFmtId="0" fontId="3" fillId="0" borderId="0" xfId="0" applyFont="1" applyProtection="1">
      <protection locked="0"/>
    </xf>
    <xf numFmtId="10" fontId="2" fillId="0" borderId="0" xfId="2" applyNumberFormat="1" applyFont="1"/>
    <xf numFmtId="165" fontId="0" fillId="0" borderId="0" xfId="0" applyNumberFormat="1"/>
    <xf numFmtId="165" fontId="0" fillId="3" borderId="0" xfId="0" applyNumberFormat="1" applyFill="1"/>
    <xf numFmtId="165" fontId="3" fillId="0" borderId="0" xfId="0" applyNumberFormat="1" applyFont="1"/>
    <xf numFmtId="44" fontId="2" fillId="0" borderId="0" xfId="3" applyFont="1"/>
    <xf numFmtId="0" fontId="1" fillId="5" borderId="0" xfId="5"/>
    <xf numFmtId="165" fontId="1" fillId="5" borderId="0" xfId="5" applyNumberFormat="1"/>
    <xf numFmtId="0" fontId="1" fillId="6" borderId="0" xfId="6"/>
    <xf numFmtId="165" fontId="1" fillId="6" borderId="0" xfId="6" applyNumberFormat="1"/>
    <xf numFmtId="44" fontId="3" fillId="0" borderId="0" xfId="0" applyNumberFormat="1" applyFont="1"/>
    <xf numFmtId="0" fontId="8" fillId="4" borderId="0" xfId="4"/>
    <xf numFmtId="9" fontId="8" fillId="4" borderId="0" xfId="4" applyNumberFormat="1"/>
  </cellXfs>
  <cellStyles count="7">
    <cellStyle name="60% - Accent1" xfId="5" builtinId="32"/>
    <cellStyle name="60% - Accent6" xfId="6" builtinId="52"/>
    <cellStyle name="Goed" xfId="4" builtinId="26"/>
    <cellStyle name="Neutraal" xfId="1" builtinId="28"/>
    <cellStyle name="Procent" xfId="2" builtinId="5"/>
    <cellStyle name="Standaard" xfId="0" builtinId="0"/>
    <cellStyle name="Valuta" xfId="3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zoomScale="115" zoomScaleNormal="115" workbookViewId="0">
      <pane ySplit="1" topLeftCell="A24" activePane="bottomLeft" state="frozen"/>
      <selection pane="bottomLeft" activeCell="E43" sqref="E43"/>
    </sheetView>
  </sheetViews>
  <sheetFormatPr defaultColWidth="9.109375" defaultRowHeight="13.2" x14ac:dyDescent="0.25"/>
  <cols>
    <col min="1" max="1" width="33.6640625" style="3" customWidth="1"/>
    <col min="2" max="6" width="14.109375" style="3" bestFit="1" customWidth="1"/>
    <col min="7" max="7" width="9.109375" style="3"/>
    <col min="8" max="8" width="16.44140625" style="3" bestFit="1" customWidth="1"/>
    <col min="9" max="9" width="10.109375" style="3" bestFit="1" customWidth="1"/>
    <col min="10" max="16384" width="9.109375" style="3"/>
  </cols>
  <sheetData>
    <row r="1" spans="1:6" ht="18" customHeight="1" x14ac:dyDescent="0.3">
      <c r="A1" s="5" t="s">
        <v>0</v>
      </c>
      <c r="B1" s="6">
        <v>2026</v>
      </c>
      <c r="C1" s="6">
        <v>2027</v>
      </c>
      <c r="D1" s="6">
        <v>2028</v>
      </c>
      <c r="E1" s="6">
        <v>2029</v>
      </c>
      <c r="F1" s="6">
        <v>2030</v>
      </c>
    </row>
    <row r="2" spans="1:6" ht="18" customHeight="1" x14ac:dyDescent="0.25">
      <c r="A2" s="1" t="s">
        <v>1</v>
      </c>
      <c r="B2" s="10"/>
      <c r="C2" s="10"/>
      <c r="D2" s="10"/>
      <c r="E2" s="10"/>
      <c r="F2" s="10"/>
    </row>
    <row r="3" spans="1:6" ht="18" customHeight="1" x14ac:dyDescent="0.25">
      <c r="A3" s="1" t="s">
        <v>13</v>
      </c>
      <c r="B3" s="12">
        <f>368640*3</f>
        <v>1105920</v>
      </c>
      <c r="C3" s="10"/>
      <c r="D3" s="10"/>
      <c r="E3" s="10"/>
      <c r="F3" s="10"/>
    </row>
    <row r="4" spans="1:6" ht="18" customHeight="1" x14ac:dyDescent="0.25">
      <c r="A4" s="2"/>
      <c r="B4" s="10"/>
      <c r="C4" s="10"/>
      <c r="D4" s="10"/>
      <c r="E4" s="10"/>
      <c r="F4" s="10"/>
    </row>
    <row r="5" spans="1:6" ht="18" customHeight="1" x14ac:dyDescent="0.25">
      <c r="A5" s="2"/>
      <c r="B5" s="10"/>
      <c r="C5" s="10"/>
      <c r="D5" s="10"/>
      <c r="E5" s="10"/>
      <c r="F5" s="10"/>
    </row>
    <row r="6" spans="1:6" ht="18" customHeight="1" x14ac:dyDescent="0.25">
      <c r="A6" s="2"/>
      <c r="B6" s="10"/>
      <c r="C6" s="10"/>
      <c r="D6" s="10"/>
      <c r="E6" s="10"/>
      <c r="F6" s="10"/>
    </row>
    <row r="7" spans="1:6" ht="18" customHeight="1" x14ac:dyDescent="0.25">
      <c r="A7" s="2"/>
      <c r="B7" s="10"/>
      <c r="C7" s="10"/>
      <c r="D7" s="10"/>
      <c r="E7" s="10"/>
      <c r="F7" s="10"/>
    </row>
    <row r="8" spans="1:6" ht="18" customHeight="1" x14ac:dyDescent="0.25">
      <c r="A8" s="9">
        <v>4.65E-2</v>
      </c>
      <c r="B8" s="10"/>
      <c r="C8" s="10"/>
      <c r="D8" s="10"/>
      <c r="E8" s="10"/>
      <c r="F8" s="10"/>
    </row>
    <row r="9" spans="1:6" ht="18" customHeight="1" x14ac:dyDescent="0.25">
      <c r="A9" s="1" t="s">
        <v>2</v>
      </c>
      <c r="B9" s="10">
        <f>SUM(B3:B8)</f>
        <v>1105920</v>
      </c>
      <c r="C9" s="10"/>
      <c r="D9" s="10"/>
      <c r="E9" s="10"/>
      <c r="F9" s="10"/>
    </row>
    <row r="10" spans="1:6" ht="18" customHeight="1" x14ac:dyDescent="0.25">
      <c r="B10" s="11"/>
      <c r="C10" s="11"/>
      <c r="D10" s="11"/>
      <c r="E10" s="11"/>
      <c r="F10" s="11"/>
    </row>
    <row r="11" spans="1:6" ht="18" customHeight="1" x14ac:dyDescent="0.25">
      <c r="A11" s="1" t="s">
        <v>3</v>
      </c>
      <c r="B11" s="10"/>
      <c r="C11" s="10"/>
      <c r="D11" s="10"/>
      <c r="E11" s="10"/>
      <c r="F11" s="10"/>
    </row>
    <row r="12" spans="1:6" ht="18" customHeight="1" x14ac:dyDescent="0.25">
      <c r="A12" s="2"/>
      <c r="B12" s="10"/>
      <c r="C12" s="10"/>
      <c r="D12" s="10"/>
      <c r="E12" s="10"/>
      <c r="F12" s="10"/>
    </row>
    <row r="13" spans="1:6" ht="18" customHeight="1" x14ac:dyDescent="0.25">
      <c r="A13" s="2"/>
      <c r="B13" s="10"/>
      <c r="C13" s="10"/>
      <c r="D13" s="10"/>
      <c r="E13" s="10"/>
      <c r="F13" s="10"/>
    </row>
    <row r="14" spans="1:6" ht="18" customHeight="1" x14ac:dyDescent="0.25">
      <c r="A14"/>
      <c r="B14" s="10"/>
      <c r="C14" s="10"/>
      <c r="D14" s="10"/>
      <c r="E14" s="10"/>
      <c r="F14" s="10"/>
    </row>
    <row r="15" spans="1:6" ht="18" customHeight="1" x14ac:dyDescent="0.25">
      <c r="A15" s="1" t="s">
        <v>4</v>
      </c>
      <c r="B15" s="10">
        <f>SUM(B12:B14)</f>
        <v>0</v>
      </c>
      <c r="C15" s="10">
        <f>SUM(C12:C14)</f>
        <v>0</v>
      </c>
      <c r="D15" s="10">
        <f>SUM(D12:D14)</f>
        <v>0</v>
      </c>
      <c r="E15" s="10">
        <f>SUM(E12:E14)</f>
        <v>0</v>
      </c>
      <c r="F15" s="10">
        <f>SUM(F12:F14)</f>
        <v>0</v>
      </c>
    </row>
    <row r="16" spans="1:6" ht="18" customHeight="1" x14ac:dyDescent="0.25">
      <c r="B16" s="11"/>
      <c r="C16" s="11"/>
      <c r="D16" s="11"/>
      <c r="E16" s="11"/>
      <c r="F16" s="11"/>
    </row>
    <row r="17" spans="1:6" ht="18" customHeight="1" x14ac:dyDescent="0.25">
      <c r="A17" s="1" t="s">
        <v>5</v>
      </c>
      <c r="B17" s="10"/>
      <c r="C17" s="10"/>
      <c r="D17" s="10"/>
      <c r="E17" s="10"/>
      <c r="F17" s="10"/>
    </row>
    <row r="18" spans="1:6" ht="18" customHeight="1" x14ac:dyDescent="0.25">
      <c r="A18" s="1" t="s">
        <v>14</v>
      </c>
      <c r="B18" s="10">
        <v>300000</v>
      </c>
      <c r="C18" s="10">
        <v>300000</v>
      </c>
      <c r="D18" s="10">
        <v>300000</v>
      </c>
      <c r="E18" s="10">
        <v>300000</v>
      </c>
      <c r="F18" s="10">
        <v>300000</v>
      </c>
    </row>
    <row r="19" spans="1:6" ht="18" customHeight="1" x14ac:dyDescent="0.25">
      <c r="A19" s="1" t="s">
        <v>15</v>
      </c>
      <c r="B19" s="10">
        <v>900000</v>
      </c>
      <c r="C19" s="10">
        <v>900000</v>
      </c>
      <c r="D19" s="10">
        <v>900000</v>
      </c>
      <c r="E19" s="10">
        <v>900000</v>
      </c>
      <c r="F19" s="10">
        <v>900000</v>
      </c>
    </row>
    <row r="20" spans="1:6" ht="18" customHeight="1" x14ac:dyDescent="0.25">
      <c r="A20" s="1" t="s">
        <v>16</v>
      </c>
      <c r="B20" s="10">
        <v>125000</v>
      </c>
      <c r="C20" s="10">
        <v>125000</v>
      </c>
      <c r="D20" s="10">
        <v>125000</v>
      </c>
      <c r="E20" s="10">
        <v>125000</v>
      </c>
      <c r="F20" s="10">
        <v>125000</v>
      </c>
    </row>
    <row r="21" spans="1:6" ht="18" customHeight="1" x14ac:dyDescent="0.25">
      <c r="A21" s="1" t="s">
        <v>17</v>
      </c>
      <c r="B21" s="10">
        <v>75000</v>
      </c>
      <c r="C21" s="10">
        <v>75000</v>
      </c>
      <c r="D21" s="10">
        <v>75000</v>
      </c>
      <c r="E21" s="10">
        <v>75000</v>
      </c>
      <c r="F21" s="10">
        <v>75000</v>
      </c>
    </row>
    <row r="22" spans="1:6" ht="18" customHeight="1" x14ac:dyDescent="0.25">
      <c r="A22" s="1" t="s">
        <v>18</v>
      </c>
      <c r="B22" s="10">
        <v>25000</v>
      </c>
      <c r="C22" s="10">
        <v>25000</v>
      </c>
      <c r="D22" s="10">
        <v>25000</v>
      </c>
      <c r="E22" s="10">
        <v>25000</v>
      </c>
      <c r="F22" s="10">
        <v>25000</v>
      </c>
    </row>
    <row r="23" spans="1:6" ht="18" customHeight="1" x14ac:dyDescent="0.25">
      <c r="A23" s="1" t="s">
        <v>6</v>
      </c>
      <c r="B23" s="10">
        <f>SUM(B18:B22)</f>
        <v>1425000</v>
      </c>
      <c r="C23" s="10">
        <f>SUM(C18:C22)</f>
        <v>1425000</v>
      </c>
      <c r="D23" s="10">
        <f>SUM(D18:D22)</f>
        <v>1425000</v>
      </c>
      <c r="E23" s="10">
        <f>SUM(E18:E22)</f>
        <v>1425000</v>
      </c>
      <c r="F23" s="10">
        <f>SUM(F18:F22)</f>
        <v>1425000</v>
      </c>
    </row>
    <row r="24" spans="1:6" ht="18" customHeight="1" x14ac:dyDescent="0.25">
      <c r="B24" s="11"/>
      <c r="C24" s="11"/>
      <c r="D24" s="11"/>
      <c r="E24" s="11"/>
      <c r="F24" s="11"/>
    </row>
    <row r="25" spans="1:6" ht="18" customHeight="1" x14ac:dyDescent="0.25">
      <c r="A25" s="1" t="s">
        <v>7</v>
      </c>
      <c r="B25" s="10">
        <f>B15-B23</f>
        <v>-1425000</v>
      </c>
      <c r="C25" s="10">
        <f>C15-C23</f>
        <v>-1425000</v>
      </c>
      <c r="D25" s="10">
        <f>D15-D23</f>
        <v>-1425000</v>
      </c>
      <c r="E25" s="10">
        <f>E15-E23</f>
        <v>-1425000</v>
      </c>
      <c r="F25" s="10">
        <f>F15-F23</f>
        <v>-1425000</v>
      </c>
    </row>
    <row r="26" spans="1:6" ht="18" customHeight="1" x14ac:dyDescent="0.25">
      <c r="B26" s="11"/>
      <c r="C26" s="11"/>
      <c r="D26" s="11"/>
      <c r="E26" s="11"/>
      <c r="F26" s="11"/>
    </row>
    <row r="27" spans="1:6" ht="18" customHeight="1" x14ac:dyDescent="0.25">
      <c r="A27" s="1" t="s">
        <v>8</v>
      </c>
      <c r="B27" s="10"/>
      <c r="C27" s="10"/>
      <c r="D27" s="10"/>
      <c r="E27" s="10"/>
      <c r="F27" s="10"/>
    </row>
    <row r="28" spans="1:6" ht="18" customHeight="1" x14ac:dyDescent="0.25">
      <c r="A28" s="1" t="s">
        <v>19</v>
      </c>
      <c r="B28" s="10">
        <v>1100250</v>
      </c>
      <c r="C28" s="10">
        <f>1.1*B28</f>
        <v>1210275</v>
      </c>
      <c r="D28" s="10">
        <f t="shared" ref="D28:F28" si="0">1.1*C28</f>
        <v>1331302.5</v>
      </c>
      <c r="E28" s="10">
        <f t="shared" si="0"/>
        <v>1464432.7500000002</v>
      </c>
      <c r="F28" s="10">
        <f t="shared" si="0"/>
        <v>1610876.0250000004</v>
      </c>
    </row>
    <row r="29" spans="1:6" ht="18" customHeight="1" x14ac:dyDescent="0.25">
      <c r="A29" s="1" t="s">
        <v>20</v>
      </c>
      <c r="B29" s="10">
        <v>100000</v>
      </c>
      <c r="C29" s="10">
        <v>100000</v>
      </c>
      <c r="D29" s="10">
        <v>85000</v>
      </c>
      <c r="E29" s="10">
        <v>85000</v>
      </c>
      <c r="F29" s="10">
        <v>0</v>
      </c>
    </row>
    <row r="30" spans="1:6" ht="18" customHeight="1" x14ac:dyDescent="0.25">
      <c r="A30" s="8"/>
      <c r="B30" s="10"/>
      <c r="C30" s="10"/>
      <c r="D30" s="10"/>
      <c r="E30" s="10"/>
      <c r="F30" s="10"/>
    </row>
    <row r="31" spans="1:6" ht="18" customHeight="1" x14ac:dyDescent="0.25">
      <c r="A31" s="1" t="s">
        <v>9</v>
      </c>
      <c r="B31" s="10">
        <f>SUM(B28:B30)</f>
        <v>1200250</v>
      </c>
      <c r="C31" s="10">
        <f t="shared" ref="C31:F31" si="1">SUM(C28:C30)</f>
        <v>1310275</v>
      </c>
      <c r="D31" s="10">
        <f t="shared" si="1"/>
        <v>1416302.5</v>
      </c>
      <c r="E31" s="10">
        <f t="shared" si="1"/>
        <v>1549432.7500000002</v>
      </c>
      <c r="F31" s="10">
        <f t="shared" si="1"/>
        <v>1610876.0250000004</v>
      </c>
    </row>
    <row r="32" spans="1:6" ht="18" customHeight="1" x14ac:dyDescent="0.25">
      <c r="A32" s="1" t="s">
        <v>10</v>
      </c>
      <c r="B32" s="10">
        <f>B25+B31</f>
        <v>-224750</v>
      </c>
      <c r="C32" s="10">
        <f>C25+C31</f>
        <v>-114725</v>
      </c>
      <c r="D32" s="10">
        <f>D25+D31</f>
        <v>-8697.5</v>
      </c>
      <c r="E32" s="10">
        <f>E25+E31</f>
        <v>124432.75000000023</v>
      </c>
      <c r="F32" s="10">
        <f>F25+F31</f>
        <v>185876.02500000037</v>
      </c>
    </row>
    <row r="33" spans="1:8" ht="18" customHeight="1" x14ac:dyDescent="0.25">
      <c r="B33" s="11"/>
      <c r="C33" s="11"/>
      <c r="D33" s="11"/>
      <c r="E33" s="11"/>
      <c r="F33" s="11"/>
    </row>
    <row r="34" spans="1:8" ht="18" customHeight="1" x14ac:dyDescent="0.25">
      <c r="A34" s="1" t="s">
        <v>11</v>
      </c>
      <c r="B34" s="10"/>
      <c r="C34" s="10"/>
      <c r="D34" s="10"/>
      <c r="E34" s="10"/>
      <c r="F34" s="10"/>
    </row>
    <row r="35" spans="1:8" ht="18" customHeight="1" x14ac:dyDescent="0.25">
      <c r="A35" s="13">
        <f>-B9</f>
        <v>-1105920</v>
      </c>
      <c r="B35" s="10">
        <f>B32/(1+$A$8)^0</f>
        <v>-224750</v>
      </c>
      <c r="C35" s="10">
        <f>C32/(1+$A$8)^1</f>
        <v>-109627.32919254659</v>
      </c>
      <c r="D35" s="10">
        <f>D32/(1+$A$8)^2</f>
        <v>-7941.7456180579638</v>
      </c>
      <c r="E35" s="10">
        <f>E32/(1+$A$8)^3</f>
        <v>108571.7908082339</v>
      </c>
      <c r="F35" s="10">
        <f>F32/(1+$A$8)^4</f>
        <v>154976.71310623421</v>
      </c>
    </row>
    <row r="36" spans="1:8" ht="18" customHeight="1" x14ac:dyDescent="0.25">
      <c r="A36" s="1" t="s">
        <v>12</v>
      </c>
      <c r="B36" s="10">
        <f>A35+B35</f>
        <v>-1330670</v>
      </c>
      <c r="C36" s="10">
        <f>B36+C35</f>
        <v>-1440297.3291925467</v>
      </c>
      <c r="D36" s="10">
        <f>C36+D35</f>
        <v>-1448239.0748106046</v>
      </c>
      <c r="E36" s="10">
        <f>D36+E35</f>
        <v>-1339667.2840023707</v>
      </c>
      <c r="F36" s="10">
        <f>E36+F35</f>
        <v>-1184690.5708961366</v>
      </c>
    </row>
    <row r="37" spans="1:8" x14ac:dyDescent="0.25">
      <c r="A37"/>
      <c r="B37" s="10"/>
      <c r="C37" s="10"/>
      <c r="D37" s="10"/>
      <c r="E37" s="10"/>
      <c r="F37" s="10"/>
    </row>
    <row r="38" spans="1:8" ht="14.4" x14ac:dyDescent="0.3">
      <c r="A38" s="14" t="s">
        <v>21</v>
      </c>
      <c r="B38" s="15">
        <f>$F$36</f>
        <v>-1184690.5708961366</v>
      </c>
      <c r="C38" s="10"/>
      <c r="D38" s="10"/>
      <c r="E38" s="10"/>
      <c r="F38" s="10"/>
    </row>
    <row r="39" spans="1:8" x14ac:dyDescent="0.25">
      <c r="A39"/>
      <c r="B39" s="10"/>
      <c r="C39" s="10"/>
      <c r="D39" s="10"/>
      <c r="E39" s="10"/>
      <c r="F39" s="10"/>
    </row>
    <row r="40" spans="1:8" ht="14.4" x14ac:dyDescent="0.3">
      <c r="A40" s="16" t="s">
        <v>22</v>
      </c>
      <c r="B40" s="17" t="s">
        <v>23</v>
      </c>
      <c r="C40" s="10"/>
      <c r="D40" s="10"/>
      <c r="E40" s="10"/>
      <c r="F40" s="10"/>
    </row>
    <row r="41" spans="1:8" x14ac:dyDescent="0.25">
      <c r="A41"/>
      <c r="B41" s="10"/>
      <c r="C41" s="10"/>
      <c r="D41" s="10"/>
      <c r="E41" s="10"/>
      <c r="F41" s="10"/>
    </row>
    <row r="42" spans="1:8" ht="14.4" x14ac:dyDescent="0.3">
      <c r="A42" s="19" t="s">
        <v>24</v>
      </c>
      <c r="B42" s="20">
        <f>IRR(A44:F44)</f>
        <v>-0.30629446871338661</v>
      </c>
      <c r="C42" s="10"/>
      <c r="D42" s="10"/>
      <c r="E42" s="10"/>
      <c r="F42" s="10"/>
    </row>
    <row r="43" spans="1:8" x14ac:dyDescent="0.25">
      <c r="A43" s="7"/>
      <c r="B43" s="10"/>
      <c r="C43" s="10"/>
      <c r="D43" s="10"/>
      <c r="E43" s="10"/>
      <c r="F43" s="10"/>
    </row>
    <row r="44" spans="1:8" ht="13.8" x14ac:dyDescent="0.25">
      <c r="A44" s="18">
        <f>$A$35</f>
        <v>-1105920</v>
      </c>
      <c r="B44" s="10">
        <f t="shared" ref="B44:F44" si="2">B32</f>
        <v>-224750</v>
      </c>
      <c r="C44" s="10">
        <f t="shared" si="2"/>
        <v>-114725</v>
      </c>
      <c r="D44" s="12">
        <f t="shared" si="2"/>
        <v>-8697.5</v>
      </c>
      <c r="E44" s="10">
        <f t="shared" si="2"/>
        <v>124432.75000000023</v>
      </c>
      <c r="F44" s="10">
        <f t="shared" si="2"/>
        <v>185876.02500000037</v>
      </c>
      <c r="H44" s="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f95379a6-efcb-4855-97e0-03c6be785496}" enabled="1" method="Standard" siteId="{0bff66c5-45db-46ed-8b81-87959e069b9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PHL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</dc:creator>
  <cp:lastModifiedBy>GertJan Bollen</cp:lastModifiedBy>
  <dcterms:created xsi:type="dcterms:W3CDTF">2004-11-17T07:52:36Z</dcterms:created>
  <dcterms:modified xsi:type="dcterms:W3CDTF">2025-11-07T09:22:14Z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379a6-efcb-4855-97e0-03c6be785496_Enabled">
    <vt:lpwstr>true</vt:lpwstr>
  </property>
  <property fmtid="{D5CDD505-2E9C-101B-9397-08002B2CF9AE}" pid="3" name="MSIP_Label_f95379a6-efcb-4855-97e0-03c6be785496_SetDate">
    <vt:lpwstr>2021-11-07T09:58:22Z</vt:lpwstr>
  </property>
  <property fmtid="{D5CDD505-2E9C-101B-9397-08002B2CF9AE}" pid="4" name="MSIP_Label_f95379a6-efcb-4855-97e0-03c6be785496_Method">
    <vt:lpwstr>Standard</vt:lpwstr>
  </property>
  <property fmtid="{D5CDD505-2E9C-101B-9397-08002B2CF9AE}" pid="5" name="MSIP_Label_f95379a6-efcb-4855-97e0-03c6be785496_Name">
    <vt:lpwstr>f95379a6-efcb-4855-97e0-03c6be785496</vt:lpwstr>
  </property>
  <property fmtid="{D5CDD505-2E9C-101B-9397-08002B2CF9AE}" pid="6" name="MSIP_Label_f95379a6-efcb-4855-97e0-03c6be785496_SiteId">
    <vt:lpwstr>0bff66c5-45db-46ed-8b81-87959e069b90</vt:lpwstr>
  </property>
  <property fmtid="{D5CDD505-2E9C-101B-9397-08002B2CF9AE}" pid="7" name="MSIP_Label_f95379a6-efcb-4855-97e0-03c6be785496_ActionId">
    <vt:lpwstr>e1925468-9c3d-418b-941e-291e8d0a087e</vt:lpwstr>
  </property>
  <property fmtid="{D5CDD505-2E9C-101B-9397-08002B2CF9AE}" pid="8" name="MSIP_Label_f95379a6-efcb-4855-97e0-03c6be785496_ContentBits">
    <vt:lpwstr>0</vt:lpwstr>
  </property>
</Properties>
</file>