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/>
  <mc:AlternateContent xmlns:mc="http://schemas.openxmlformats.org/markup-compatibility/2006">
    <mc:Choice Requires="x15">
      <x15ac:absPath xmlns:x15ac="http://schemas.microsoft.com/office/spreadsheetml/2010/11/ac" url="https://hogeschoolpxl-my.sharepoint.com/personal/20003936_pxl_be/Documents/Cursus Project Management/Permanente Evaluatie/PE2 KostenBatenAnalyse/2526 - versie 2021/"/>
    </mc:Choice>
  </mc:AlternateContent>
  <xr:revisionPtr revIDLastSave="854" documentId="11_AD4D7A0C205A6B9A452FA81407595C065ADEDD8F" xr6:coauthVersionLast="47" xr6:coauthVersionMax="47" xr10:uidLastSave="{1C4A7308-CF74-0D43-BFDD-32DBEBEE6F82}"/>
  <bookViews>
    <workbookView xWindow="0" yWindow="680" windowWidth="29040" windowHeight="15720" activeTab="4" xr2:uid="{4599E97C-CB19-4AFF-BFAF-44EF3169E95B}"/>
  </bookViews>
  <sheets>
    <sheet name="Situatie 1" sheetId="1" r:id="rId1"/>
    <sheet name="Situatie 2" sheetId="3" r:id="rId2"/>
    <sheet name="Situatie 3" sheetId="8" r:id="rId3"/>
    <sheet name="Conclusie" sheetId="5" r:id="rId4"/>
    <sheet name="PE Gegeven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8" l="1"/>
  <c r="E1" i="8"/>
  <c r="D1" i="8"/>
  <c r="C1" i="8"/>
  <c r="B1" i="8"/>
  <c r="F1" i="3"/>
  <c r="E1" i="3"/>
  <c r="D1" i="3"/>
  <c r="C1" i="3"/>
  <c r="B1" i="3"/>
  <c r="F1" i="1" l="1"/>
  <c r="E1" i="1"/>
  <c r="D1" i="1"/>
  <c r="C1" i="1"/>
  <c r="B1" i="1"/>
  <c r="C11" i="5" l="1"/>
  <c r="E11" i="5"/>
  <c r="C29" i="8"/>
  <c r="B29" i="8"/>
  <c r="F15" i="8"/>
  <c r="E15" i="8"/>
  <c r="D15" i="8"/>
  <c r="C15" i="8"/>
  <c r="B15" i="8"/>
  <c r="B8" i="8"/>
  <c r="A33" i="8" s="1"/>
  <c r="C7" i="5"/>
  <c r="C3" i="5"/>
  <c r="D29" i="8" l="1"/>
  <c r="B22" i="8"/>
  <c r="B24" i="8" s="1"/>
  <c r="B30" i="8" s="1"/>
  <c r="B33" i="8" s="1"/>
  <c r="B34" i="8" s="1"/>
  <c r="C22" i="8"/>
  <c r="C24" i="8" s="1"/>
  <c r="C30" i="8" s="1"/>
  <c r="C33" i="8" s="1"/>
  <c r="D15" i="3"/>
  <c r="E15" i="3"/>
  <c r="F15" i="3"/>
  <c r="C15" i="3"/>
  <c r="B15" i="3"/>
  <c r="C29" i="1"/>
  <c r="D29" i="1"/>
  <c r="E29" i="1"/>
  <c r="F29" i="1"/>
  <c r="B29" i="1"/>
  <c r="E7" i="5"/>
  <c r="F29" i="3"/>
  <c r="E29" i="3"/>
  <c r="D29" i="3"/>
  <c r="C29" i="3"/>
  <c r="B29" i="3"/>
  <c r="B22" i="3"/>
  <c r="B24" i="3" s="1"/>
  <c r="B8" i="3"/>
  <c r="A33" i="3" s="1"/>
  <c r="E3" i="5"/>
  <c r="B30" i="3" l="1"/>
  <c r="B33" i="3" s="1"/>
  <c r="B34" i="3" s="1"/>
  <c r="E29" i="8"/>
  <c r="F29" i="8"/>
  <c r="C34" i="8"/>
  <c r="D22" i="8"/>
  <c r="D24" i="8" s="1"/>
  <c r="D30" i="8" s="1"/>
  <c r="D33" i="8" s="1"/>
  <c r="C22" i="3"/>
  <c r="C24" i="3" s="1"/>
  <c r="C30" i="3" s="1"/>
  <c r="C33" i="3" s="1"/>
  <c r="B8" i="1"/>
  <c r="A33" i="1" s="1"/>
  <c r="F22" i="1"/>
  <c r="E22" i="1"/>
  <c r="D22" i="1"/>
  <c r="C22" i="1"/>
  <c r="B22" i="1"/>
  <c r="C15" i="1"/>
  <c r="D15" i="1"/>
  <c r="E15" i="1"/>
  <c r="F15" i="1"/>
  <c r="B15" i="1"/>
  <c r="F22" i="8" l="1"/>
  <c r="F24" i="8" s="1"/>
  <c r="F30" i="8" s="1"/>
  <c r="F33" i="8" s="1"/>
  <c r="E22" i="8"/>
  <c r="E24" i="8" s="1"/>
  <c r="E30" i="8" s="1"/>
  <c r="E33" i="8" s="1"/>
  <c r="D34" i="8"/>
  <c r="D22" i="3"/>
  <c r="D24" i="3" s="1"/>
  <c r="D30" i="3" s="1"/>
  <c r="D33" i="3" s="1"/>
  <c r="C34" i="3"/>
  <c r="F24" i="1"/>
  <c r="F30" i="1" s="1"/>
  <c r="F33" i="1" s="1"/>
  <c r="B24" i="1"/>
  <c r="B30" i="1" s="1"/>
  <c r="B33" i="1" s="1"/>
  <c r="B34" i="1" s="1"/>
  <c r="C24" i="1"/>
  <c r="C30" i="1" s="1"/>
  <c r="C33" i="1" s="1"/>
  <c r="E24" i="1"/>
  <c r="E30" i="1" s="1"/>
  <c r="E33" i="1" s="1"/>
  <c r="D24" i="1"/>
  <c r="D30" i="1" s="1"/>
  <c r="D33" i="1" s="1"/>
  <c r="E34" i="8" l="1"/>
  <c r="F34" i="8" s="1"/>
  <c r="B38" i="8" s="1"/>
  <c r="A11" i="5" s="1"/>
  <c r="E22" i="3"/>
  <c r="E24" i="3" s="1"/>
  <c r="E30" i="3" s="1"/>
  <c r="E33" i="3" s="1"/>
  <c r="F22" i="3"/>
  <c r="F24" i="3" s="1"/>
  <c r="F30" i="3" s="1"/>
  <c r="F33" i="3" s="1"/>
  <c r="D34" i="3"/>
  <c r="C34" i="1"/>
  <c r="E34" i="3" l="1"/>
  <c r="F34" i="3" s="1"/>
  <c r="B38" i="3" s="1"/>
  <c r="A7" i="5" s="1"/>
  <c r="D34" i="1"/>
  <c r="E34" i="1" s="1"/>
  <c r="F34" i="1" s="1"/>
  <c r="B38" i="1" s="1"/>
  <c r="A3" i="5" s="1"/>
</calcChain>
</file>

<file path=xl/sharedStrings.xml><?xml version="1.0" encoding="utf-8"?>
<sst xmlns="http://schemas.openxmlformats.org/spreadsheetml/2006/main" count="87" uniqueCount="41">
  <si>
    <t>Projectcalculatieformulier</t>
  </si>
  <si>
    <t>EENMALIGE KOSTEN</t>
  </si>
  <si>
    <t>TOTAAL EENMALIGE KOSTEN</t>
  </si>
  <si>
    <t>EXPLOITATIE OUDE SYSTEEM</t>
  </si>
  <si>
    <t>TOTALE WERKINGSKOSTEN OS</t>
  </si>
  <si>
    <t>EXPLOITATIE NIEUWE SYSTEEM</t>
  </si>
  <si>
    <t>TOTALE WERKINGSKOSTEN NS</t>
  </si>
  <si>
    <t>TOTALE BESPARINGEN</t>
  </si>
  <si>
    <t>ANDERE OPBRENGSTEN</t>
  </si>
  <si>
    <t>TOTAAL ANDERE OPBRENGSTEN</t>
  </si>
  <si>
    <t>TOTAAL OPBRENGSTEN</t>
  </si>
  <si>
    <t>ACTUALISEREN van de opbrengsten</t>
  </si>
  <si>
    <t>Gecum. NCW</t>
  </si>
  <si>
    <t>Vul onderstaande gegevens in, deze worden gekopieerd naar het laatste tabblad.</t>
  </si>
  <si>
    <t>Uitkomst analyse</t>
  </si>
  <si>
    <t>Kengetal</t>
  </si>
  <si>
    <t>NCW</t>
  </si>
  <si>
    <t>TVT</t>
  </si>
  <si>
    <t>IR(R)</t>
  </si>
  <si>
    <t>Tijdstip</t>
  </si>
  <si>
    <t>PE2: Kosten- en batenanalyse</t>
  </si>
  <si>
    <t>Lectoren: Lowie Vangaal – Jan Castermans</t>
  </si>
  <si>
    <t>Type taak: groepstaak - Weging: 4%</t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</si>
  <si>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De TVT noteer je in het datumformaat ‘dd/mm/jjjj’. Je dient geen rekening te houden met schrikkeljaren. Afwijkingen tot 2 dagen worden geaccepteerd.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</si>
  <si>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Times New Roman"/>
        <family val="1"/>
      </rPr>
      <t>Controleer grondig alle uitwerkingen en de samenvatting op het vierde tabblad.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</si>
  <si>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Fouten in de berekening kunnen drastische gevolgen hebben in jullie eindconclusie en op het totaalcijfer van de PE.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</si>
  <si>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Times New Roman"/>
        <family val="1"/>
      </rPr>
      <t>Voor de uitwerking gebruik je dit Excel-document, andere uitwerken worden niet nagekeken.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</si>
  <si>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Gelieve geen afrondingen uit te voeren. Geldbedragen zijn afgerond tot 2 cijfers na de komma. Ook de IRR noteer je tot 2 cijfers na de komma.</t>
    </r>
  </si>
  <si>
    <t>Klas</t>
  </si>
  <si>
    <t>Datum</t>
  </si>
  <si>
    <t>IRR</t>
  </si>
  <si>
    <t>Situatie 1</t>
  </si>
  <si>
    <t>Situatie 2</t>
  </si>
  <si>
    <t>Situatie 3</t>
  </si>
  <si>
    <t>Welk van de drie voorstellen verdient volgens jullie de voorkeur? Verwijs expliciet naar de cijfermatige resultaten uit jullie eigen analyses.</t>
  </si>
  <si>
    <t>Welke aannames hebben jullie gemaakt die volgens het team het sterkst hebben meegewogen in je beslissing? Waarom waren net deze aannames belangrijk? M.a.w.: hoe ben je tot jouw voorkeur gekomen?</t>
  </si>
  <si>
    <t>Wat is volgens jullie de grootste onzekerheid in deze analyses, en hoe zou deze (positief of negatief) jullie voorkeur kunnen veranderen?</t>
  </si>
  <si>
    <t>AJ: 2025-2026 – 2TIN</t>
  </si>
  <si>
    <t>PE 2: Opgave Kosten- en batenanalyse- academiejaar 2025 – 2026</t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</si>
  <si>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De analyse start op 01 januari 2026.</t>
    </r>
  </si>
  <si>
    <t>2TIN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</si>
</sst>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&quot;€&quot;\ * #,##0.00_ ;_ &quot;€&quot;\ * \-#,##0.00_ ;_ &quot;€&quot;\ * &quot;-&quot;??_ ;_ @_ "/>
    <numFmt numFmtId="165" formatCode="_ &quot;€&quot;\ * #,##0.000_ ;_ &quot;€&quot;\ * \-#,##0.000_ ;_ &quot;€&quot;\ * &quot;-&quot;??_ ;_ @_ "/>
    <numFmt numFmtId="166" formatCode="_ &quot;€&quot;\ * #,##0.000_ ;_ &quot;€&quot;\ * \-#,##0.000_ ;_ &quot;€&quot;\ * &quot;-&quot;???_ ;_ @_ 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sz val="13"/>
      <color rgb="FF2E74B5"/>
      <name val="Calibri Light"/>
      <family val="2"/>
    </font>
    <font>
      <sz val="12"/>
      <color rgb="FF1F4D78"/>
      <name val="Calibri Light"/>
      <family val="2"/>
    </font>
    <font>
      <sz val="16"/>
      <color rgb="FF2E74B5"/>
      <name val="Calibri Light"/>
      <family val="2"/>
    </font>
    <font>
      <sz val="12"/>
      <color theme="1"/>
      <name val="Symbol"/>
      <family val="1"/>
      <charset val="2"/>
    </font>
    <font>
      <sz val="7"/>
      <color theme="1"/>
      <name val="Times New Roman"/>
      <family val="1"/>
    </font>
    <font>
      <sz val="12"/>
      <color theme="1"/>
      <name val="Courier New"/>
      <family val="3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6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1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2" borderId="0" applyNumberFormat="0" applyBorder="0" applyAlignment="0" applyProtection="0"/>
    <xf numFmtId="0" fontId="5" fillId="3" borderId="3" applyNumberFormat="0" applyAlignment="0" applyProtection="0"/>
    <xf numFmtId="0" fontId="1" fillId="4" borderId="4" applyNumberFormat="0" applyFont="0" applyAlignment="0" applyProtection="0"/>
    <xf numFmtId="0" fontId="7" fillId="5" borderId="0" applyNumberFormat="0" applyBorder="0" applyAlignment="0" applyProtection="0"/>
    <xf numFmtId="0" fontId="8" fillId="0" borderId="5" applyNumberFormat="0" applyFill="0" applyAlignment="0" applyProtection="0"/>
    <xf numFmtId="0" fontId="9" fillId="6" borderId="3" applyNumberFormat="0" applyAlignment="0" applyProtection="0"/>
    <xf numFmtId="0" fontId="10" fillId="7" borderId="6" applyNumberFormat="0" applyAlignment="0" applyProtection="0"/>
    <xf numFmtId="0" fontId="11" fillId="0" borderId="0" applyNumberFormat="0" applyFill="0" applyBorder="0" applyAlignment="0" applyProtection="0"/>
    <xf numFmtId="0" fontId="1" fillId="8" borderId="0" applyNumberFormat="0" applyBorder="0" applyAlignment="0" applyProtection="0"/>
  </cellStyleXfs>
  <cellXfs count="36">
    <xf numFmtId="0" fontId="0" fillId="0" borderId="0" xfId="0"/>
    <xf numFmtId="0" fontId="6" fillId="0" borderId="0" xfId="0" applyFont="1"/>
    <xf numFmtId="0" fontId="4" fillId="2" borderId="0" xfId="5"/>
    <xf numFmtId="10" fontId="0" fillId="0" borderId="0" xfId="2" applyNumberFormat="1" applyFont="1"/>
    <xf numFmtId="164" fontId="0" fillId="0" borderId="0" xfId="1" applyFont="1"/>
    <xf numFmtId="0" fontId="7" fillId="5" borderId="0" xfId="8"/>
    <xf numFmtId="0" fontId="0" fillId="0" borderId="0" xfId="0" applyProtection="1">
      <protection locked="0"/>
    </xf>
    <xf numFmtId="164" fontId="6" fillId="0" borderId="0" xfId="1" applyFont="1"/>
    <xf numFmtId="165" fontId="0" fillId="0" borderId="0" xfId="0" applyNumberFormat="1"/>
    <xf numFmtId="166" fontId="0" fillId="0" borderId="0" xfId="0" applyNumberFormat="1"/>
    <xf numFmtId="166" fontId="5" fillId="3" borderId="3" xfId="6" applyNumberFormat="1"/>
    <xf numFmtId="14" fontId="5" fillId="3" borderId="3" xfId="6" applyNumberFormat="1"/>
    <xf numFmtId="0" fontId="3" fillId="0" borderId="2" xfId="4"/>
    <xf numFmtId="0" fontId="3" fillId="0" borderId="2" xfId="4" quotePrefix="1"/>
    <xf numFmtId="0" fontId="2" fillId="0" borderId="1" xfId="3"/>
    <xf numFmtId="0" fontId="8" fillId="9" borderId="5" xfId="9" applyFill="1"/>
    <xf numFmtId="0" fontId="0" fillId="9" borderId="0" xfId="0" applyFill="1"/>
    <xf numFmtId="0" fontId="13" fillId="9" borderId="0" xfId="0" applyFont="1" applyFill="1" applyAlignment="1">
      <alignment vertical="center"/>
    </xf>
    <xf numFmtId="0" fontId="14" fillId="9" borderId="0" xfId="0" applyFont="1" applyFill="1" applyAlignment="1">
      <alignment vertical="center"/>
    </xf>
    <xf numFmtId="0" fontId="15" fillId="9" borderId="0" xfId="0" applyFont="1" applyFill="1" applyAlignment="1">
      <alignment vertical="center"/>
    </xf>
    <xf numFmtId="0" fontId="16" fillId="9" borderId="0" xfId="0" applyFont="1" applyFill="1" applyAlignment="1">
      <alignment horizontal="left" vertical="center" indent="5"/>
    </xf>
    <xf numFmtId="0" fontId="18" fillId="9" borderId="0" xfId="0" applyFont="1" applyFill="1" applyAlignment="1">
      <alignment horizontal="left" vertical="center" indent="10"/>
    </xf>
    <xf numFmtId="0" fontId="11" fillId="9" borderId="0" xfId="12" applyFill="1"/>
    <xf numFmtId="0" fontId="20" fillId="0" borderId="0" xfId="0" applyFont="1"/>
    <xf numFmtId="10" fontId="5" fillId="3" borderId="3" xfId="6" applyNumberFormat="1"/>
    <xf numFmtId="0" fontId="0" fillId="4" borderId="4" xfId="7" applyFont="1" applyAlignment="1">
      <alignment horizontal="center"/>
    </xf>
    <xf numFmtId="0" fontId="0" fillId="4" borderId="4" xfId="7" applyFont="1" applyAlignment="1">
      <alignment horizontal="left" wrapText="1"/>
    </xf>
    <xf numFmtId="0" fontId="0" fillId="0" borderId="0" xfId="0" applyAlignment="1">
      <alignment horizontal="center" wrapText="1"/>
    </xf>
    <xf numFmtId="0" fontId="10" fillId="7" borderId="6" xfId="11" applyAlignment="1">
      <alignment horizontal="center"/>
    </xf>
    <xf numFmtId="0" fontId="0" fillId="4" borderId="4" xfId="7" quotePrefix="1" applyFont="1" applyAlignment="1">
      <alignment horizontal="center"/>
    </xf>
    <xf numFmtId="164" fontId="9" fillId="6" borderId="3" xfId="1" applyFont="1" applyFill="1" applyBorder="1" applyAlignment="1">
      <alignment horizontal="center"/>
    </xf>
    <xf numFmtId="14" fontId="9" fillId="6" borderId="3" xfId="10" applyNumberFormat="1" applyAlignment="1">
      <alignment horizontal="center"/>
    </xf>
    <xf numFmtId="10" fontId="9" fillId="6" borderId="3" xfId="2" applyNumberFormat="1" applyFont="1" applyFill="1" applyBorder="1" applyAlignment="1">
      <alignment horizontal="center"/>
    </xf>
    <xf numFmtId="20" fontId="19" fillId="8" borderId="0" xfId="13" applyNumberFormat="1" applyFont="1" applyBorder="1" applyAlignment="1">
      <alignment horizontal="center"/>
    </xf>
    <xf numFmtId="0" fontId="19" fillId="8" borderId="0" xfId="13" applyFont="1" applyBorder="1" applyAlignment="1">
      <alignment horizontal="center"/>
    </xf>
    <xf numFmtId="14" fontId="19" fillId="8" borderId="0" xfId="13" applyNumberFormat="1" applyFont="1" applyBorder="1" applyAlignment="1">
      <alignment horizontal="center"/>
    </xf>
  </cellXfs>
  <cellStyles count="14">
    <cellStyle name="20% - Accent2" xfId="13" builtinId="34"/>
    <cellStyle name="Accent3" xfId="8" builtinId="37"/>
    <cellStyle name="Berekening" xfId="10" builtinId="22"/>
    <cellStyle name="Controlecel" xfId="11" builtinId="23"/>
    <cellStyle name="Invoer" xfId="6" builtinId="20"/>
    <cellStyle name="Kop 1" xfId="9" builtinId="16"/>
    <cellStyle name="Kop 2" xfId="3" builtinId="17"/>
    <cellStyle name="Kop 3" xfId="4" builtinId="18"/>
    <cellStyle name="Neutraal" xfId="5" builtinId="28"/>
    <cellStyle name="Notitie" xfId="7" builtinId="10"/>
    <cellStyle name="Procent" xfId="2" builtinId="5"/>
    <cellStyle name="Standaard" xfId="0" builtinId="0"/>
    <cellStyle name="Valuta" xfId="1" builtinId="4"/>
    <cellStyle name="Waarschuwingstekst" xfId="12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workbookViewId="0">
      <selection activeCell="C42" sqref="C42"/>
    </sheetView>
  </sheetViews>
  <sheetFormatPr baseColWidth="10" defaultColWidth="0" defaultRowHeight="15" x14ac:dyDescent="0.2"/>
  <cols>
    <col min="1" max="1" width="32.83203125" bestFit="1" customWidth="1"/>
    <col min="2" max="6" width="15.6640625" customWidth="1"/>
    <col min="7" max="16383" width="9.1640625" hidden="1"/>
    <col min="16384" max="16384" width="9.1640625" hidden="1" customWidth="1"/>
  </cols>
  <sheetData>
    <row r="1" spans="1:6" x14ac:dyDescent="0.2">
      <c r="A1" s="2" t="s">
        <v>0</v>
      </c>
      <c r="B1" s="2">
        <f ca="1">YEAR(NOW())+1</f>
        <v>2026</v>
      </c>
      <c r="C1" s="2">
        <f ca="1">YEAR(NOW())+2</f>
        <v>2027</v>
      </c>
      <c r="D1" s="2">
        <f ca="1">YEAR(NOW())+3</f>
        <v>2028</v>
      </c>
      <c r="E1" s="2">
        <f ca="1">YEAR(NOW())+4</f>
        <v>2029</v>
      </c>
      <c r="F1" s="2">
        <f ca="1">YEAR(NOW())+5</f>
        <v>2030</v>
      </c>
    </row>
    <row r="2" spans="1:6" x14ac:dyDescent="0.2">
      <c r="A2" s="1" t="s">
        <v>1</v>
      </c>
    </row>
    <row r="3" spans="1:6" x14ac:dyDescent="0.2">
      <c r="B3" s="4"/>
    </row>
    <row r="4" spans="1:6" x14ac:dyDescent="0.2">
      <c r="B4" s="4"/>
    </row>
    <row r="5" spans="1:6" x14ac:dyDescent="0.2">
      <c r="B5" s="4"/>
    </row>
    <row r="6" spans="1:6" x14ac:dyDescent="0.2">
      <c r="B6" s="4"/>
    </row>
    <row r="7" spans="1:6" x14ac:dyDescent="0.2">
      <c r="A7" s="3">
        <v>0</v>
      </c>
      <c r="B7" s="4"/>
    </row>
    <row r="8" spans="1:6" x14ac:dyDescent="0.2">
      <c r="A8" s="1" t="s">
        <v>2</v>
      </c>
      <c r="B8" s="4">
        <f>SUM(B3:B7)</f>
        <v>0</v>
      </c>
    </row>
    <row r="9" spans="1:6" x14ac:dyDescent="0.2">
      <c r="A9" s="5"/>
      <c r="B9" s="5"/>
      <c r="C9" s="5"/>
      <c r="D9" s="5"/>
      <c r="E9" s="5"/>
      <c r="F9" s="5"/>
    </row>
    <row r="10" spans="1:6" x14ac:dyDescent="0.2">
      <c r="A10" s="1" t="s">
        <v>3</v>
      </c>
    </row>
    <row r="11" spans="1:6" x14ac:dyDescent="0.2">
      <c r="B11" s="4"/>
      <c r="C11" s="4"/>
      <c r="D11" s="4"/>
      <c r="E11" s="4"/>
      <c r="F11" s="4"/>
    </row>
    <row r="12" spans="1:6" x14ac:dyDescent="0.2">
      <c r="B12" s="4"/>
      <c r="C12" s="4"/>
      <c r="D12" s="4"/>
      <c r="E12" s="4"/>
      <c r="F12" s="4"/>
    </row>
    <row r="13" spans="1:6" x14ac:dyDescent="0.2">
      <c r="B13" s="4"/>
      <c r="C13" s="4"/>
      <c r="D13" s="4"/>
      <c r="E13" s="4"/>
      <c r="F13" s="4"/>
    </row>
    <row r="14" spans="1:6" x14ac:dyDescent="0.2">
      <c r="B14" s="4"/>
      <c r="C14" s="4"/>
      <c r="D14" s="4"/>
      <c r="E14" s="4"/>
      <c r="F14" s="4"/>
    </row>
    <row r="15" spans="1:6" x14ac:dyDescent="0.2">
      <c r="A15" s="1" t="s">
        <v>4</v>
      </c>
      <c r="B15" s="4">
        <f>SUM(B11:B14)</f>
        <v>0</v>
      </c>
      <c r="C15" s="4">
        <f t="shared" ref="C15:F15" si="0">SUM(C11:C14)</f>
        <v>0</v>
      </c>
      <c r="D15" s="4">
        <f t="shared" si="0"/>
        <v>0</v>
      </c>
      <c r="E15" s="4">
        <f t="shared" si="0"/>
        <v>0</v>
      </c>
      <c r="F15" s="4">
        <f t="shared" si="0"/>
        <v>0</v>
      </c>
    </row>
    <row r="16" spans="1:6" x14ac:dyDescent="0.2">
      <c r="A16" s="5"/>
      <c r="B16" s="5"/>
      <c r="C16" s="5"/>
      <c r="D16" s="5"/>
      <c r="E16" s="5"/>
      <c r="F16" s="5"/>
    </row>
    <row r="17" spans="1:6" x14ac:dyDescent="0.2">
      <c r="A17" s="1" t="s">
        <v>5</v>
      </c>
    </row>
    <row r="18" spans="1:6" x14ac:dyDescent="0.2">
      <c r="B18" s="4"/>
      <c r="C18" s="4"/>
      <c r="D18" s="4"/>
      <c r="E18" s="4"/>
      <c r="F18" s="4"/>
    </row>
    <row r="19" spans="1:6" x14ac:dyDescent="0.2">
      <c r="B19" s="4"/>
      <c r="C19" s="4"/>
      <c r="D19" s="4"/>
      <c r="E19" s="4"/>
      <c r="F19" s="4"/>
    </row>
    <row r="20" spans="1:6" x14ac:dyDescent="0.2">
      <c r="B20" s="4"/>
      <c r="C20" s="4"/>
      <c r="D20" s="4"/>
      <c r="E20" s="4"/>
      <c r="F20" s="4"/>
    </row>
    <row r="21" spans="1:6" x14ac:dyDescent="0.2">
      <c r="B21" s="4"/>
      <c r="C21" s="4"/>
      <c r="D21" s="4"/>
      <c r="E21" s="4"/>
      <c r="F21" s="4"/>
    </row>
    <row r="22" spans="1:6" x14ac:dyDescent="0.2">
      <c r="A22" s="1" t="s">
        <v>6</v>
      </c>
      <c r="B22" s="4">
        <f>SUM(B18:B21)</f>
        <v>0</v>
      </c>
      <c r="C22" s="4">
        <f>SUM(C18:C21)</f>
        <v>0</v>
      </c>
      <c r="D22" s="4">
        <f>SUM(D18:D21)</f>
        <v>0</v>
      </c>
      <c r="E22" s="4">
        <f>SUM(E18:E21)</f>
        <v>0</v>
      </c>
      <c r="F22" s="4">
        <f>SUM(F18:F21)</f>
        <v>0</v>
      </c>
    </row>
    <row r="23" spans="1:6" x14ac:dyDescent="0.2">
      <c r="A23" s="5"/>
      <c r="B23" s="5"/>
      <c r="C23" s="5"/>
      <c r="D23" s="5"/>
      <c r="E23" s="5"/>
      <c r="F23" s="5"/>
    </row>
    <row r="24" spans="1:6" x14ac:dyDescent="0.2">
      <c r="A24" s="1" t="s">
        <v>7</v>
      </c>
      <c r="B24" s="4">
        <f>B15-B22</f>
        <v>0</v>
      </c>
      <c r="C24" s="4">
        <f>C15-C22</f>
        <v>0</v>
      </c>
      <c r="D24" s="4">
        <f>D15-D22</f>
        <v>0</v>
      </c>
      <c r="E24" s="4">
        <f>E15-E22</f>
        <v>0</v>
      </c>
      <c r="F24" s="4">
        <f>F15-F22</f>
        <v>0</v>
      </c>
    </row>
    <row r="25" spans="1:6" x14ac:dyDescent="0.2">
      <c r="A25" s="5"/>
      <c r="B25" s="5"/>
      <c r="C25" s="5"/>
      <c r="D25" s="5"/>
      <c r="E25" s="5"/>
      <c r="F25" s="5"/>
    </row>
    <row r="26" spans="1:6" x14ac:dyDescent="0.2">
      <c r="A26" s="1" t="s">
        <v>8</v>
      </c>
      <c r="B26" s="4"/>
      <c r="C26" s="4"/>
      <c r="D26" s="4"/>
      <c r="E26" s="4"/>
      <c r="F26" s="4"/>
    </row>
    <row r="27" spans="1:6" x14ac:dyDescent="0.2">
      <c r="A27" s="6"/>
      <c r="B27" s="4"/>
      <c r="C27" s="4"/>
      <c r="D27" s="4"/>
      <c r="E27" s="4"/>
      <c r="F27" s="4"/>
    </row>
    <row r="28" spans="1:6" x14ac:dyDescent="0.2">
      <c r="B28" s="4"/>
      <c r="C28" s="4"/>
      <c r="D28" s="4"/>
      <c r="E28" s="4"/>
      <c r="F28" s="4"/>
    </row>
    <row r="29" spans="1:6" x14ac:dyDescent="0.2">
      <c r="A29" s="1" t="s">
        <v>9</v>
      </c>
      <c r="B29" s="4">
        <f>SUM(B27:B28)</f>
        <v>0</v>
      </c>
      <c r="C29" s="4">
        <f>SUM(C27:C28)</f>
        <v>0</v>
      </c>
      <c r="D29" s="4">
        <f>SUM(D27:D28)</f>
        <v>0</v>
      </c>
      <c r="E29" s="4">
        <f>SUM(E27:E28)</f>
        <v>0</v>
      </c>
      <c r="F29" s="4">
        <f>SUM(F27:F28)</f>
        <v>0</v>
      </c>
    </row>
    <row r="30" spans="1:6" x14ac:dyDescent="0.2">
      <c r="A30" s="1" t="s">
        <v>10</v>
      </c>
      <c r="B30" s="4">
        <f>B24+B29</f>
        <v>0</v>
      </c>
      <c r="C30" s="4">
        <f>C24+C29</f>
        <v>0</v>
      </c>
      <c r="D30" s="4">
        <f>D24+D29</f>
        <v>0</v>
      </c>
      <c r="E30" s="4">
        <f>E24+E29</f>
        <v>0</v>
      </c>
      <c r="F30" s="4">
        <f>F24+F29</f>
        <v>0</v>
      </c>
    </row>
    <row r="31" spans="1:6" x14ac:dyDescent="0.2">
      <c r="A31" s="5"/>
      <c r="B31" s="5"/>
      <c r="C31" s="5"/>
      <c r="D31" s="5"/>
      <c r="E31" s="5"/>
      <c r="F31" s="5"/>
    </row>
    <row r="32" spans="1:6" x14ac:dyDescent="0.2">
      <c r="A32" s="1" t="s">
        <v>11</v>
      </c>
    </row>
    <row r="33" spans="1:6" x14ac:dyDescent="0.2">
      <c r="A33" s="7">
        <f>-B8</f>
        <v>0</v>
      </c>
      <c r="B33" s="8">
        <f>B30/(1+A7)^0</f>
        <v>0</v>
      </c>
      <c r="C33" s="8">
        <f>C30/(1+A7)^1</f>
        <v>0</v>
      </c>
      <c r="D33" s="8">
        <f>D30/(1+A7)^2</f>
        <v>0</v>
      </c>
      <c r="E33" s="8">
        <f>E30/(1+A7)^3</f>
        <v>0</v>
      </c>
      <c r="F33" s="8">
        <f>F30/(1+A7)^4</f>
        <v>0</v>
      </c>
    </row>
    <row r="34" spans="1:6" x14ac:dyDescent="0.2">
      <c r="A34" s="1" t="s">
        <v>12</v>
      </c>
      <c r="B34" s="9">
        <f>A33+B33</f>
        <v>0</v>
      </c>
      <c r="C34" s="9">
        <f>B34+C33</f>
        <v>0</v>
      </c>
      <c r="D34" s="9">
        <f>C34+D33</f>
        <v>0</v>
      </c>
      <c r="E34" s="9">
        <f>D34+E33</f>
        <v>0</v>
      </c>
      <c r="F34" s="9">
        <f>E34+F33</f>
        <v>0</v>
      </c>
    </row>
    <row r="36" spans="1:6" x14ac:dyDescent="0.2">
      <c r="A36" s="25" t="s">
        <v>13</v>
      </c>
      <c r="B36" s="25"/>
      <c r="C36" s="25"/>
      <c r="D36" s="25"/>
      <c r="E36" s="25"/>
      <c r="F36" s="25"/>
    </row>
    <row r="37" spans="1:6" ht="18" thickBot="1" x14ac:dyDescent="0.25">
      <c r="A37" s="14" t="s">
        <v>15</v>
      </c>
      <c r="B37" s="12" t="s">
        <v>16</v>
      </c>
      <c r="C37" s="12" t="s">
        <v>17</v>
      </c>
      <c r="D37" s="13" t="s">
        <v>18</v>
      </c>
    </row>
    <row r="38" spans="1:6" ht="19" thickTop="1" thickBot="1" x14ac:dyDescent="0.25">
      <c r="A38" s="14" t="s">
        <v>14</v>
      </c>
      <c r="B38" s="10">
        <f>F34</f>
        <v>0</v>
      </c>
      <c r="C38" s="11">
        <v>25569</v>
      </c>
      <c r="D38" s="24">
        <v>0</v>
      </c>
    </row>
    <row r="39" spans="1:6" ht="16" thickTop="1" x14ac:dyDescent="0.2"/>
  </sheetData>
  <mergeCells count="1">
    <mergeCell ref="A36:F36"/>
  </mergeCells>
  <pageMargins left="0.7" right="0.7" top="0.75" bottom="0.75" header="0.3" footer="0.3"/>
  <pageSetup paperSize="9" orientation="portrait" r:id="rId1"/>
  <ignoredErrors>
    <ignoredError sqref="D3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64776-9278-4E1A-9D65-0A3460E84051}">
  <dimension ref="A1:F39"/>
  <sheetViews>
    <sheetView workbookViewId="0">
      <selection activeCell="A35" sqref="A35:XFD35"/>
    </sheetView>
  </sheetViews>
  <sheetFormatPr baseColWidth="10" defaultColWidth="0" defaultRowHeight="15" customHeight="1" x14ac:dyDescent="0.2"/>
  <cols>
    <col min="1" max="1" width="32.83203125" bestFit="1" customWidth="1"/>
    <col min="2" max="6" width="15.6640625" customWidth="1"/>
    <col min="7" max="16383" width="9.1640625" hidden="1"/>
    <col min="16384" max="16384" width="9.1640625" hidden="1" customWidth="1"/>
  </cols>
  <sheetData>
    <row r="1" spans="1:6" x14ac:dyDescent="0.2">
      <c r="A1" s="2" t="s">
        <v>0</v>
      </c>
      <c r="B1" s="2">
        <f ca="1">YEAR(NOW())+1</f>
        <v>2026</v>
      </c>
      <c r="C1" s="2">
        <f ca="1">YEAR(NOW())+2</f>
        <v>2027</v>
      </c>
      <c r="D1" s="2">
        <f ca="1">YEAR(NOW())+3</f>
        <v>2028</v>
      </c>
      <c r="E1" s="2">
        <f ca="1">YEAR(NOW())+4</f>
        <v>2029</v>
      </c>
      <c r="F1" s="2">
        <f ca="1">YEAR(NOW())+5</f>
        <v>2030</v>
      </c>
    </row>
    <row r="2" spans="1:6" x14ac:dyDescent="0.2">
      <c r="A2" s="1" t="s">
        <v>1</v>
      </c>
      <c r="B2" s="4"/>
    </row>
    <row r="3" spans="1:6" x14ac:dyDescent="0.2">
      <c r="B3" s="4"/>
    </row>
    <row r="4" spans="1:6" x14ac:dyDescent="0.2">
      <c r="B4" s="4"/>
    </row>
    <row r="5" spans="1:6" x14ac:dyDescent="0.2">
      <c r="B5" s="4"/>
    </row>
    <row r="6" spans="1:6" x14ac:dyDescent="0.2">
      <c r="B6" s="4"/>
    </row>
    <row r="7" spans="1:6" x14ac:dyDescent="0.2">
      <c r="A7" s="3">
        <v>0</v>
      </c>
      <c r="B7" s="4"/>
    </row>
    <row r="8" spans="1:6" x14ac:dyDescent="0.2">
      <c r="A8" s="1" t="s">
        <v>2</v>
      </c>
      <c r="B8" s="4">
        <f>SUM(B3:B7)</f>
        <v>0</v>
      </c>
    </row>
    <row r="9" spans="1:6" x14ac:dyDescent="0.2">
      <c r="A9" s="5"/>
      <c r="B9" s="5"/>
      <c r="C9" s="5"/>
      <c r="D9" s="5"/>
      <c r="E9" s="5"/>
      <c r="F9" s="5"/>
    </row>
    <row r="10" spans="1:6" x14ac:dyDescent="0.2">
      <c r="A10" s="1" t="s">
        <v>3</v>
      </c>
    </row>
    <row r="11" spans="1:6" x14ac:dyDescent="0.2">
      <c r="B11" s="4"/>
      <c r="C11" s="4"/>
      <c r="D11" s="4"/>
      <c r="E11" s="4"/>
      <c r="F11" s="4"/>
    </row>
    <row r="12" spans="1:6" x14ac:dyDescent="0.2">
      <c r="B12" s="4"/>
      <c r="C12" s="4"/>
      <c r="D12" s="4"/>
      <c r="E12" s="4"/>
      <c r="F12" s="4"/>
    </row>
    <row r="13" spans="1:6" x14ac:dyDescent="0.2">
      <c r="B13" s="4"/>
      <c r="C13" s="4"/>
      <c r="D13" s="4"/>
      <c r="E13" s="4"/>
      <c r="F13" s="4"/>
    </row>
    <row r="14" spans="1:6" x14ac:dyDescent="0.2">
      <c r="B14" s="4"/>
      <c r="C14" s="4"/>
      <c r="D14" s="4"/>
      <c r="E14" s="4"/>
      <c r="F14" s="4"/>
    </row>
    <row r="15" spans="1:6" x14ac:dyDescent="0.2">
      <c r="A15" s="1" t="s">
        <v>4</v>
      </c>
      <c r="B15" s="4">
        <f>SUM(B11:B14)</f>
        <v>0</v>
      </c>
      <c r="C15" s="4">
        <f>SUM(C11:C14)</f>
        <v>0</v>
      </c>
      <c r="D15" s="4">
        <f t="shared" ref="D15:F15" si="0">SUM(D11:D14)</f>
        <v>0</v>
      </c>
      <c r="E15" s="4">
        <f t="shared" si="0"/>
        <v>0</v>
      </c>
      <c r="F15" s="4">
        <f t="shared" si="0"/>
        <v>0</v>
      </c>
    </row>
    <row r="16" spans="1:6" x14ac:dyDescent="0.2">
      <c r="A16" s="5"/>
      <c r="B16" s="5"/>
      <c r="C16" s="5"/>
      <c r="D16" s="5"/>
      <c r="E16" s="5"/>
      <c r="F16" s="5"/>
    </row>
    <row r="17" spans="1:6" x14ac:dyDescent="0.2">
      <c r="A17" s="1" t="s">
        <v>5</v>
      </c>
    </row>
    <row r="18" spans="1:6" x14ac:dyDescent="0.2">
      <c r="B18" s="4"/>
      <c r="C18" s="4"/>
      <c r="D18" s="4"/>
      <c r="E18" s="4"/>
      <c r="F18" s="4"/>
    </row>
    <row r="19" spans="1:6" x14ac:dyDescent="0.2">
      <c r="B19" s="4"/>
      <c r="C19" s="4"/>
      <c r="D19" s="4"/>
      <c r="E19" s="4"/>
      <c r="F19" s="4"/>
    </row>
    <row r="20" spans="1:6" x14ac:dyDescent="0.2">
      <c r="B20" s="4"/>
      <c r="C20" s="4"/>
      <c r="D20" s="4"/>
      <c r="E20" s="4"/>
      <c r="F20" s="4"/>
    </row>
    <row r="21" spans="1:6" x14ac:dyDescent="0.2">
      <c r="B21" s="4"/>
      <c r="C21" s="4"/>
      <c r="D21" s="4"/>
      <c r="E21" s="4"/>
      <c r="F21" s="4"/>
    </row>
    <row r="22" spans="1:6" x14ac:dyDescent="0.2">
      <c r="A22" s="1" t="s">
        <v>6</v>
      </c>
      <c r="B22" s="4">
        <f>SUM(B18:B21)</f>
        <v>0</v>
      </c>
      <c r="C22" s="4">
        <f>SUM(C18:C21)</f>
        <v>0</v>
      </c>
      <c r="D22" s="4">
        <f>SUM(D18:D21)</f>
        <v>0</v>
      </c>
      <c r="E22" s="4">
        <f>SUM(E18:E21)</f>
        <v>0</v>
      </c>
      <c r="F22" s="4">
        <f>SUM(F18:F21)</f>
        <v>0</v>
      </c>
    </row>
    <row r="23" spans="1:6" x14ac:dyDescent="0.2">
      <c r="A23" s="5"/>
      <c r="B23" s="5"/>
      <c r="C23" s="5"/>
      <c r="D23" s="5"/>
      <c r="E23" s="5"/>
      <c r="F23" s="5"/>
    </row>
    <row r="24" spans="1:6" x14ac:dyDescent="0.2">
      <c r="A24" s="1" t="s">
        <v>7</v>
      </c>
      <c r="B24" s="4">
        <f>B15-B22</f>
        <v>0</v>
      </c>
      <c r="C24" s="4">
        <f>C15-C22</f>
        <v>0</v>
      </c>
      <c r="D24" s="4">
        <f>D15-D22</f>
        <v>0</v>
      </c>
      <c r="E24" s="4">
        <f>E15-E22</f>
        <v>0</v>
      </c>
      <c r="F24" s="4">
        <f>F15-F22</f>
        <v>0</v>
      </c>
    </row>
    <row r="25" spans="1:6" x14ac:dyDescent="0.2">
      <c r="A25" s="5"/>
      <c r="B25" s="5"/>
      <c r="C25" s="5"/>
      <c r="D25" s="5"/>
      <c r="E25" s="5"/>
      <c r="F25" s="5"/>
    </row>
    <row r="26" spans="1:6" x14ac:dyDescent="0.2">
      <c r="A26" s="1" t="s">
        <v>8</v>
      </c>
      <c r="B26" s="4"/>
      <c r="C26" s="4"/>
      <c r="D26" s="4"/>
      <c r="E26" s="4"/>
      <c r="F26" s="4"/>
    </row>
    <row r="27" spans="1:6" x14ac:dyDescent="0.2">
      <c r="A27" s="6"/>
      <c r="B27" s="4"/>
      <c r="C27" s="4"/>
      <c r="D27" s="4"/>
      <c r="E27" s="4"/>
      <c r="F27" s="4"/>
    </row>
    <row r="28" spans="1:6" x14ac:dyDescent="0.2">
      <c r="B28" s="4"/>
      <c r="C28" s="4"/>
      <c r="D28" s="4"/>
      <c r="E28" s="4"/>
      <c r="F28" s="4"/>
    </row>
    <row r="29" spans="1:6" x14ac:dyDescent="0.2">
      <c r="A29" s="1" t="s">
        <v>9</v>
      </c>
      <c r="B29" s="4">
        <f>SUM(B27:B28)</f>
        <v>0</v>
      </c>
      <c r="C29" s="4">
        <f>SUM(C27:C28)</f>
        <v>0</v>
      </c>
      <c r="D29" s="4">
        <f>SUM(D27:D28)</f>
        <v>0</v>
      </c>
      <c r="E29" s="4">
        <f>SUM(E27:E28)</f>
        <v>0</v>
      </c>
      <c r="F29" s="4">
        <f>SUM(F27:F28)</f>
        <v>0</v>
      </c>
    </row>
    <row r="30" spans="1:6" x14ac:dyDescent="0.2">
      <c r="A30" s="1" t="s">
        <v>10</v>
      </c>
      <c r="B30" s="4">
        <f>B24+B29</f>
        <v>0</v>
      </c>
      <c r="C30" s="4">
        <f>C24+C29</f>
        <v>0</v>
      </c>
      <c r="D30" s="4">
        <f>D24+D29</f>
        <v>0</v>
      </c>
      <c r="E30" s="4">
        <f>E24+E29</f>
        <v>0</v>
      </c>
      <c r="F30" s="4">
        <f>F24+F29</f>
        <v>0</v>
      </c>
    </row>
    <row r="31" spans="1:6" x14ac:dyDescent="0.2">
      <c r="A31" s="5"/>
      <c r="B31" s="5"/>
      <c r="C31" s="5"/>
      <c r="D31" s="5"/>
      <c r="E31" s="5"/>
      <c r="F31" s="5"/>
    </row>
    <row r="32" spans="1:6" x14ac:dyDescent="0.2">
      <c r="A32" s="1" t="s">
        <v>11</v>
      </c>
    </row>
    <row r="33" spans="1:6" x14ac:dyDescent="0.2">
      <c r="A33" s="7">
        <f>-B8</f>
        <v>0</v>
      </c>
      <c r="B33" s="8">
        <f>B30/(1+A7)^0</f>
        <v>0</v>
      </c>
      <c r="C33" s="8">
        <f>C30/(1+A7)^1</f>
        <v>0</v>
      </c>
      <c r="D33" s="8">
        <f>D30/(1+A7)^2</f>
        <v>0</v>
      </c>
      <c r="E33" s="8">
        <f>E30/(1+A7)^3</f>
        <v>0</v>
      </c>
      <c r="F33" s="8">
        <f>F30/(1+A7)^4</f>
        <v>0</v>
      </c>
    </row>
    <row r="34" spans="1:6" x14ac:dyDescent="0.2">
      <c r="A34" s="1" t="s">
        <v>12</v>
      </c>
      <c r="B34" s="9">
        <f>A33+B33</f>
        <v>0</v>
      </c>
      <c r="C34" s="9">
        <f>B34+C33</f>
        <v>0</v>
      </c>
      <c r="D34" s="9">
        <f>C34+D33</f>
        <v>0</v>
      </c>
      <c r="E34" s="9">
        <f>D34+E33</f>
        <v>0</v>
      </c>
      <c r="F34" s="9">
        <f>E34+F33</f>
        <v>0</v>
      </c>
    </row>
    <row r="35" spans="1:6" x14ac:dyDescent="0.2"/>
    <row r="36" spans="1:6" x14ac:dyDescent="0.2">
      <c r="A36" s="25" t="s">
        <v>13</v>
      </c>
      <c r="B36" s="25"/>
      <c r="C36" s="25"/>
      <c r="D36" s="25"/>
      <c r="E36" s="25"/>
      <c r="F36" s="25"/>
    </row>
    <row r="37" spans="1:6" ht="18" thickBot="1" x14ac:dyDescent="0.25">
      <c r="A37" s="14" t="s">
        <v>15</v>
      </c>
      <c r="B37" s="12" t="s">
        <v>16</v>
      </c>
      <c r="C37" s="12" t="s">
        <v>17</v>
      </c>
      <c r="D37" s="13" t="s">
        <v>18</v>
      </c>
    </row>
    <row r="38" spans="1:6" ht="19" thickTop="1" thickBot="1" x14ac:dyDescent="0.25">
      <c r="A38" s="14" t="s">
        <v>14</v>
      </c>
      <c r="B38" s="10">
        <f>F34</f>
        <v>0</v>
      </c>
      <c r="C38" s="11">
        <v>25569</v>
      </c>
      <c r="D38" s="24">
        <v>0</v>
      </c>
    </row>
    <row r="39" spans="1:6" ht="16" thickTop="1" x14ac:dyDescent="0.2"/>
  </sheetData>
  <mergeCells count="1">
    <mergeCell ref="A36:F3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D474D-E42D-470C-B509-40D6E4154177}">
  <dimension ref="A1:F40"/>
  <sheetViews>
    <sheetView topLeftCell="A16" workbookViewId="0">
      <selection activeCell="D45" sqref="D45"/>
    </sheetView>
  </sheetViews>
  <sheetFormatPr baseColWidth="10" defaultColWidth="0" defaultRowHeight="15" x14ac:dyDescent="0.2"/>
  <cols>
    <col min="1" max="1" width="32.83203125" bestFit="1" customWidth="1"/>
    <col min="2" max="6" width="15.6640625" customWidth="1"/>
    <col min="7" max="16383" width="9.1640625" hidden="1"/>
    <col min="16384" max="16384" width="9.1640625" hidden="1" customWidth="1"/>
  </cols>
  <sheetData>
    <row r="1" spans="1:6" x14ac:dyDescent="0.2">
      <c r="A1" s="2" t="s">
        <v>0</v>
      </c>
      <c r="B1" s="2">
        <f ca="1">YEAR(NOW())+1</f>
        <v>2026</v>
      </c>
      <c r="C1" s="2">
        <f ca="1">YEAR(NOW())+2</f>
        <v>2027</v>
      </c>
      <c r="D1" s="2">
        <f ca="1">YEAR(NOW())+3</f>
        <v>2028</v>
      </c>
      <c r="E1" s="2">
        <f ca="1">YEAR(NOW())+4</f>
        <v>2029</v>
      </c>
      <c r="F1" s="2">
        <f ca="1">YEAR(NOW())+5</f>
        <v>2030</v>
      </c>
    </row>
    <row r="2" spans="1:6" x14ac:dyDescent="0.2">
      <c r="A2" s="1" t="s">
        <v>1</v>
      </c>
    </row>
    <row r="3" spans="1:6" x14ac:dyDescent="0.2">
      <c r="B3" s="4"/>
    </row>
    <row r="4" spans="1:6" x14ac:dyDescent="0.2">
      <c r="B4" s="4"/>
    </row>
    <row r="5" spans="1:6" x14ac:dyDescent="0.2">
      <c r="B5" s="4"/>
    </row>
    <row r="6" spans="1:6" x14ac:dyDescent="0.2">
      <c r="B6" s="4"/>
    </row>
    <row r="7" spans="1:6" x14ac:dyDescent="0.2">
      <c r="A7" s="3">
        <v>0</v>
      </c>
      <c r="B7" s="4"/>
    </row>
    <row r="8" spans="1:6" x14ac:dyDescent="0.2">
      <c r="A8" s="1" t="s">
        <v>2</v>
      </c>
      <c r="B8" s="4">
        <f>SUM(B3:B7)</f>
        <v>0</v>
      </c>
    </row>
    <row r="9" spans="1:6" x14ac:dyDescent="0.2">
      <c r="A9" s="5"/>
      <c r="B9" s="5"/>
      <c r="C9" s="5"/>
      <c r="D9" s="5"/>
      <c r="E9" s="5"/>
      <c r="F9" s="5"/>
    </row>
    <row r="10" spans="1:6" x14ac:dyDescent="0.2">
      <c r="A10" s="1" t="s">
        <v>3</v>
      </c>
    </row>
    <row r="11" spans="1:6" x14ac:dyDescent="0.2">
      <c r="B11" s="4"/>
      <c r="C11" s="4"/>
      <c r="D11" s="4"/>
      <c r="E11" s="4"/>
      <c r="F11" s="4"/>
    </row>
    <row r="12" spans="1:6" x14ac:dyDescent="0.2">
      <c r="B12" s="4"/>
      <c r="C12" s="4"/>
      <c r="D12" s="4"/>
      <c r="E12" s="4"/>
      <c r="F12" s="4"/>
    </row>
    <row r="13" spans="1:6" x14ac:dyDescent="0.2">
      <c r="B13" s="4"/>
      <c r="C13" s="4"/>
      <c r="D13" s="4"/>
      <c r="E13" s="4"/>
      <c r="F13" s="4"/>
    </row>
    <row r="14" spans="1:6" x14ac:dyDescent="0.2">
      <c r="B14" s="4"/>
      <c r="C14" s="4"/>
      <c r="D14" s="4"/>
      <c r="E14" s="4"/>
      <c r="F14" s="4"/>
    </row>
    <row r="15" spans="1:6" x14ac:dyDescent="0.2">
      <c r="A15" s="1" t="s">
        <v>4</v>
      </c>
      <c r="B15" s="4">
        <f>SUM(B11:B14)</f>
        <v>0</v>
      </c>
      <c r="C15" s="4">
        <f t="shared" ref="C15:F15" si="0">SUM(C11:C14)</f>
        <v>0</v>
      </c>
      <c r="D15" s="4">
        <f t="shared" si="0"/>
        <v>0</v>
      </c>
      <c r="E15" s="4">
        <f t="shared" si="0"/>
        <v>0</v>
      </c>
      <c r="F15" s="4">
        <f t="shared" si="0"/>
        <v>0</v>
      </c>
    </row>
    <row r="16" spans="1:6" x14ac:dyDescent="0.2">
      <c r="A16" s="5"/>
      <c r="B16" s="5"/>
      <c r="C16" s="5"/>
      <c r="D16" s="5"/>
      <c r="E16" s="5"/>
      <c r="F16" s="5"/>
    </row>
    <row r="17" spans="1:6" x14ac:dyDescent="0.2">
      <c r="A17" s="1" t="s">
        <v>5</v>
      </c>
    </row>
    <row r="18" spans="1:6" x14ac:dyDescent="0.2">
      <c r="B18" s="4"/>
      <c r="C18" s="4"/>
      <c r="D18" s="4"/>
      <c r="E18" s="4"/>
      <c r="F18" s="4"/>
    </row>
    <row r="19" spans="1:6" x14ac:dyDescent="0.2">
      <c r="B19" s="4"/>
      <c r="C19" s="4"/>
      <c r="D19" s="4"/>
      <c r="E19" s="4"/>
      <c r="F19" s="4"/>
    </row>
    <row r="20" spans="1:6" x14ac:dyDescent="0.2">
      <c r="B20" s="4"/>
      <c r="C20" s="4"/>
      <c r="D20" s="4"/>
      <c r="E20" s="4"/>
      <c r="F20" s="4"/>
    </row>
    <row r="21" spans="1:6" x14ac:dyDescent="0.2">
      <c r="B21" s="4"/>
      <c r="C21" s="4"/>
      <c r="D21" s="4"/>
      <c r="E21" s="4"/>
      <c r="F21" s="4"/>
    </row>
    <row r="22" spans="1:6" x14ac:dyDescent="0.2">
      <c r="A22" s="1" t="s">
        <v>6</v>
      </c>
      <c r="B22" s="4">
        <f>SUM(B18:B21)</f>
        <v>0</v>
      </c>
      <c r="C22" s="4">
        <f>SUM(C18:C21)</f>
        <v>0</v>
      </c>
      <c r="D22" s="4">
        <f>SUM(D18:D21)</f>
        <v>0</v>
      </c>
      <c r="E22" s="4">
        <f>SUM(E18:E21)</f>
        <v>0</v>
      </c>
      <c r="F22" s="4">
        <f>SUM(F18:F21)</f>
        <v>0</v>
      </c>
    </row>
    <row r="23" spans="1:6" x14ac:dyDescent="0.2">
      <c r="A23" s="5"/>
      <c r="B23" s="5"/>
      <c r="C23" s="5"/>
      <c r="D23" s="5"/>
      <c r="E23" s="5"/>
      <c r="F23" s="5"/>
    </row>
    <row r="24" spans="1:6" x14ac:dyDescent="0.2">
      <c r="A24" s="1" t="s">
        <v>7</v>
      </c>
      <c r="B24" s="4">
        <f>B15-B22</f>
        <v>0</v>
      </c>
      <c r="C24" s="4">
        <f>C15-C22</f>
        <v>0</v>
      </c>
      <c r="D24" s="4">
        <f>D15-D22</f>
        <v>0</v>
      </c>
      <c r="E24" s="4">
        <f>E15-E22</f>
        <v>0</v>
      </c>
      <c r="F24" s="4">
        <f>F15-F22</f>
        <v>0</v>
      </c>
    </row>
    <row r="25" spans="1:6" x14ac:dyDescent="0.2">
      <c r="A25" s="5"/>
      <c r="B25" s="5"/>
      <c r="C25" s="5"/>
      <c r="D25" s="5"/>
      <c r="E25" s="5"/>
      <c r="F25" s="5"/>
    </row>
    <row r="26" spans="1:6" x14ac:dyDescent="0.2">
      <c r="A26" s="1" t="s">
        <v>8</v>
      </c>
      <c r="B26" s="4"/>
      <c r="C26" s="4"/>
      <c r="D26" s="4"/>
      <c r="E26" s="4"/>
      <c r="F26" s="4"/>
    </row>
    <row r="27" spans="1:6" x14ac:dyDescent="0.2">
      <c r="A27" s="6"/>
      <c r="B27" s="4"/>
      <c r="C27" s="4"/>
      <c r="D27" s="4"/>
      <c r="E27" s="4"/>
      <c r="F27" s="4"/>
    </row>
    <row r="28" spans="1:6" x14ac:dyDescent="0.2">
      <c r="B28" s="4"/>
      <c r="C28" s="4"/>
      <c r="D28" s="4"/>
      <c r="E28" s="4"/>
      <c r="F28" s="4"/>
    </row>
    <row r="29" spans="1:6" x14ac:dyDescent="0.2">
      <c r="A29" s="1" t="s">
        <v>9</v>
      </c>
      <c r="B29" s="4">
        <f>SUM(B27:B28)</f>
        <v>0</v>
      </c>
      <c r="C29" s="4">
        <f>SUM(C27:C28)</f>
        <v>0</v>
      </c>
      <c r="D29" s="4">
        <f>SUM(D27:D28)</f>
        <v>0</v>
      </c>
      <c r="E29" s="4">
        <f>SUM(E27:E28)</f>
        <v>0</v>
      </c>
      <c r="F29" s="4">
        <f>SUM(F27:F28)</f>
        <v>0</v>
      </c>
    </row>
    <row r="30" spans="1:6" x14ac:dyDescent="0.2">
      <c r="A30" s="1" t="s">
        <v>10</v>
      </c>
      <c r="B30" s="4">
        <f>B24+B29</f>
        <v>0</v>
      </c>
      <c r="C30" s="4">
        <f>C24+C29</f>
        <v>0</v>
      </c>
      <c r="D30" s="4">
        <f>D24+D29</f>
        <v>0</v>
      </c>
      <c r="E30" s="4">
        <f>E24+E29</f>
        <v>0</v>
      </c>
      <c r="F30" s="4">
        <f>F24+F29</f>
        <v>0</v>
      </c>
    </row>
    <row r="31" spans="1:6" x14ac:dyDescent="0.2">
      <c r="A31" s="5"/>
      <c r="B31" s="5"/>
      <c r="C31" s="5"/>
      <c r="D31" s="5"/>
      <c r="E31" s="5"/>
      <c r="F31" s="5"/>
    </row>
    <row r="32" spans="1:6" x14ac:dyDescent="0.2">
      <c r="A32" s="1" t="s">
        <v>11</v>
      </c>
    </row>
    <row r="33" spans="1:6" x14ac:dyDescent="0.2">
      <c r="A33" s="7">
        <f>-B8</f>
        <v>0</v>
      </c>
      <c r="B33" s="8">
        <f>B30/(1+A7)^0</f>
        <v>0</v>
      </c>
      <c r="C33" s="8">
        <f>C30/(1+A7)^1</f>
        <v>0</v>
      </c>
      <c r="D33" s="8">
        <f>D30/(1+A7)^2</f>
        <v>0</v>
      </c>
      <c r="E33" s="8">
        <f>E30/(1+A7)^3</f>
        <v>0</v>
      </c>
      <c r="F33" s="8">
        <f>F30/(1+A7)^4</f>
        <v>0</v>
      </c>
    </row>
    <row r="34" spans="1:6" x14ac:dyDescent="0.2">
      <c r="A34" s="1" t="s">
        <v>12</v>
      </c>
      <c r="B34" s="9">
        <f>A33+B33</f>
        <v>0</v>
      </c>
      <c r="C34" s="9">
        <f>B34+C33</f>
        <v>0</v>
      </c>
      <c r="D34" s="9">
        <f>C34+D33</f>
        <v>0</v>
      </c>
      <c r="E34" s="9">
        <f>D34+E33</f>
        <v>0</v>
      </c>
      <c r="F34" s="9">
        <f>E34+F33</f>
        <v>0</v>
      </c>
    </row>
    <row r="36" spans="1:6" x14ac:dyDescent="0.2">
      <c r="A36" s="25" t="s">
        <v>13</v>
      </c>
      <c r="B36" s="25"/>
      <c r="C36" s="25"/>
      <c r="D36" s="25"/>
      <c r="E36" s="25"/>
      <c r="F36" s="25"/>
    </row>
    <row r="37" spans="1:6" ht="18" thickBot="1" x14ac:dyDescent="0.25">
      <c r="A37" s="14" t="s">
        <v>15</v>
      </c>
      <c r="B37" s="12" t="s">
        <v>16</v>
      </c>
      <c r="C37" s="12" t="s">
        <v>17</v>
      </c>
      <c r="D37" s="13" t="s">
        <v>18</v>
      </c>
    </row>
    <row r="38" spans="1:6" ht="19" thickTop="1" thickBot="1" x14ac:dyDescent="0.25">
      <c r="A38" s="14" t="s">
        <v>14</v>
      </c>
      <c r="B38" s="10">
        <f>F34</f>
        <v>0</v>
      </c>
      <c r="C38" s="11">
        <v>25569</v>
      </c>
      <c r="D38" s="24">
        <v>0</v>
      </c>
    </row>
    <row r="39" spans="1:6" ht="16" hidden="1" thickTop="1" x14ac:dyDescent="0.2"/>
    <row r="40" spans="1:6" ht="16" thickTop="1" x14ac:dyDescent="0.2"/>
  </sheetData>
  <mergeCells count="1">
    <mergeCell ref="A36:F3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8F0FA-77CB-4BD2-84F3-258D9F97531A}">
  <dimension ref="A1:F48"/>
  <sheetViews>
    <sheetView zoomScale="120" zoomScaleNormal="120" workbookViewId="0">
      <selection activeCell="A11" sqref="A11:B11"/>
    </sheetView>
  </sheetViews>
  <sheetFormatPr baseColWidth="10" defaultColWidth="0" defaultRowHeight="15" zeroHeight="1" x14ac:dyDescent="0.2"/>
  <cols>
    <col min="1" max="6" width="9.1640625" customWidth="1"/>
    <col min="7" max="16384" width="9.1640625" hidden="1"/>
  </cols>
  <sheetData>
    <row r="1" spans="1:6" ht="17" thickTop="1" thickBot="1" x14ac:dyDescent="0.25">
      <c r="A1" s="28" t="s">
        <v>31</v>
      </c>
      <c r="B1" s="28"/>
      <c r="C1" s="28"/>
      <c r="D1" s="28"/>
      <c r="E1" s="28"/>
      <c r="F1" s="28"/>
    </row>
    <row r="2" spans="1:6" ht="16" thickTop="1" x14ac:dyDescent="0.2">
      <c r="A2" s="25" t="s">
        <v>16</v>
      </c>
      <c r="B2" s="25"/>
      <c r="C2" s="25" t="s">
        <v>17</v>
      </c>
      <c r="D2" s="25"/>
      <c r="E2" s="29" t="s">
        <v>30</v>
      </c>
      <c r="F2" s="25"/>
    </row>
    <row r="3" spans="1:6" x14ac:dyDescent="0.2">
      <c r="A3" s="30">
        <f>'Situatie 1'!B38</f>
        <v>0</v>
      </c>
      <c r="B3" s="30"/>
      <c r="C3" s="31">
        <f>'Situatie 1'!C38</f>
        <v>25569</v>
      </c>
      <c r="D3" s="31"/>
      <c r="E3" s="32">
        <f>'Situatie 1'!D38</f>
        <v>0</v>
      </c>
      <c r="F3" s="32"/>
    </row>
    <row r="4" spans="1:6" ht="16" thickBot="1" x14ac:dyDescent="0.25"/>
    <row r="5" spans="1:6" ht="17" thickTop="1" thickBot="1" x14ac:dyDescent="0.25">
      <c r="A5" s="28" t="s">
        <v>32</v>
      </c>
      <c r="B5" s="28"/>
      <c r="C5" s="28"/>
      <c r="D5" s="28"/>
      <c r="E5" s="28"/>
      <c r="F5" s="28"/>
    </row>
    <row r="6" spans="1:6" ht="16" thickTop="1" x14ac:dyDescent="0.2">
      <c r="A6" s="25" t="s">
        <v>16</v>
      </c>
      <c r="B6" s="25"/>
      <c r="C6" s="25" t="s">
        <v>17</v>
      </c>
      <c r="D6" s="25"/>
      <c r="E6" s="29" t="s">
        <v>30</v>
      </c>
      <c r="F6" s="25"/>
    </row>
    <row r="7" spans="1:6" x14ac:dyDescent="0.2">
      <c r="A7" s="30">
        <f>'Situatie 2'!B38</f>
        <v>0</v>
      </c>
      <c r="B7" s="30"/>
      <c r="C7" s="31">
        <f>'Situatie 2'!C38</f>
        <v>25569</v>
      </c>
      <c r="D7" s="31"/>
      <c r="E7" s="32">
        <f>'Situatie 2'!D38</f>
        <v>0</v>
      </c>
      <c r="F7" s="32"/>
    </row>
    <row r="8" spans="1:6" ht="16" thickBot="1" x14ac:dyDescent="0.25"/>
    <row r="9" spans="1:6" ht="17" thickTop="1" thickBot="1" x14ac:dyDescent="0.25">
      <c r="A9" s="28" t="s">
        <v>33</v>
      </c>
      <c r="B9" s="28"/>
      <c r="C9" s="28"/>
      <c r="D9" s="28"/>
      <c r="E9" s="28"/>
      <c r="F9" s="28"/>
    </row>
    <row r="10" spans="1:6" ht="16" thickTop="1" x14ac:dyDescent="0.2">
      <c r="A10" s="25" t="s">
        <v>16</v>
      </c>
      <c r="B10" s="25"/>
      <c r="C10" s="25" t="s">
        <v>17</v>
      </c>
      <c r="D10" s="25"/>
      <c r="E10" s="29" t="s">
        <v>30</v>
      </c>
      <c r="F10" s="25"/>
    </row>
    <row r="11" spans="1:6" x14ac:dyDescent="0.2">
      <c r="A11" s="30">
        <f>'Situatie 3'!B38</f>
        <v>0</v>
      </c>
      <c r="B11" s="30"/>
      <c r="C11" s="31">
        <f>'Situatie 3'!C38</f>
        <v>25569</v>
      </c>
      <c r="D11" s="31"/>
      <c r="E11" s="32">
        <f>'Situatie 3'!D38</f>
        <v>0</v>
      </c>
      <c r="F11" s="32"/>
    </row>
    <row r="12" spans="1:6" x14ac:dyDescent="0.2"/>
    <row r="13" spans="1:6" ht="54" customHeight="1" x14ac:dyDescent="0.2">
      <c r="A13" s="26" t="s">
        <v>34</v>
      </c>
      <c r="B13" s="26"/>
      <c r="C13" s="26"/>
      <c r="D13" s="26"/>
      <c r="E13" s="26"/>
      <c r="F13" s="26"/>
    </row>
    <row r="14" spans="1:6" x14ac:dyDescent="0.2">
      <c r="A14" s="27"/>
      <c r="B14" s="27"/>
      <c r="C14" s="27"/>
      <c r="D14" s="27"/>
      <c r="E14" s="27"/>
      <c r="F14" s="27"/>
    </row>
    <row r="15" spans="1:6" x14ac:dyDescent="0.2">
      <c r="A15" s="27"/>
      <c r="B15" s="27"/>
      <c r="C15" s="27"/>
      <c r="D15" s="27"/>
      <c r="E15" s="27"/>
      <c r="F15" s="27"/>
    </row>
    <row r="16" spans="1:6" x14ac:dyDescent="0.2">
      <c r="A16" s="27"/>
      <c r="B16" s="27"/>
      <c r="C16" s="27"/>
      <c r="D16" s="27"/>
      <c r="E16" s="27"/>
      <c r="F16" s="27"/>
    </row>
    <row r="17" spans="1:6" x14ac:dyDescent="0.2">
      <c r="A17" s="27"/>
      <c r="B17" s="27"/>
      <c r="C17" s="27"/>
      <c r="D17" s="27"/>
      <c r="E17" s="27"/>
      <c r="F17" s="27"/>
    </row>
    <row r="18" spans="1:6" x14ac:dyDescent="0.2">
      <c r="A18" s="27"/>
      <c r="B18" s="27"/>
      <c r="C18" s="27"/>
      <c r="D18" s="27"/>
      <c r="E18" s="27"/>
      <c r="F18" s="27"/>
    </row>
    <row r="19" spans="1:6" x14ac:dyDescent="0.2">
      <c r="A19" s="27"/>
      <c r="B19" s="27"/>
      <c r="C19" s="27"/>
      <c r="D19" s="27"/>
      <c r="E19" s="27"/>
      <c r="F19" s="27"/>
    </row>
    <row r="20" spans="1:6" x14ac:dyDescent="0.2">
      <c r="A20" s="27"/>
      <c r="B20" s="27"/>
      <c r="C20" s="27"/>
      <c r="D20" s="27"/>
      <c r="E20" s="27"/>
      <c r="F20" s="27"/>
    </row>
    <row r="21" spans="1:6" x14ac:dyDescent="0.2">
      <c r="A21" s="27"/>
      <c r="B21" s="27"/>
      <c r="C21" s="27"/>
      <c r="D21" s="27"/>
      <c r="E21" s="27"/>
      <c r="F21" s="27"/>
    </row>
    <row r="22" spans="1:6" x14ac:dyDescent="0.2">
      <c r="A22" s="27"/>
      <c r="B22" s="27"/>
      <c r="C22" s="27"/>
      <c r="D22" s="27"/>
      <c r="E22" s="27"/>
      <c r="F22" s="27"/>
    </row>
    <row r="23" spans="1:6" x14ac:dyDescent="0.2">
      <c r="A23" s="27"/>
      <c r="B23" s="27"/>
      <c r="C23" s="27"/>
      <c r="D23" s="27"/>
      <c r="E23" s="27"/>
      <c r="F23" s="27"/>
    </row>
    <row r="24" spans="1:6" x14ac:dyDescent="0.2">
      <c r="A24" s="27"/>
      <c r="B24" s="27"/>
      <c r="C24" s="27"/>
      <c r="D24" s="27"/>
      <c r="E24" s="27"/>
      <c r="F24" s="27"/>
    </row>
    <row r="25" spans="1:6" ht="67.5" customHeight="1" x14ac:dyDescent="0.2">
      <c r="A25" s="26" t="s">
        <v>35</v>
      </c>
      <c r="B25" s="26"/>
      <c r="C25" s="26"/>
      <c r="D25" s="26"/>
      <c r="E25" s="26"/>
      <c r="F25" s="26"/>
    </row>
    <row r="26" spans="1:6" x14ac:dyDescent="0.2">
      <c r="A26" s="27"/>
      <c r="B26" s="27"/>
      <c r="C26" s="27"/>
      <c r="D26" s="27"/>
      <c r="E26" s="27"/>
      <c r="F26" s="27"/>
    </row>
    <row r="27" spans="1:6" x14ac:dyDescent="0.2">
      <c r="A27" s="27"/>
      <c r="B27" s="27"/>
      <c r="C27" s="27"/>
      <c r="D27" s="27"/>
      <c r="E27" s="27"/>
      <c r="F27" s="27"/>
    </row>
    <row r="28" spans="1:6" x14ac:dyDescent="0.2">
      <c r="A28" s="27"/>
      <c r="B28" s="27"/>
      <c r="C28" s="27"/>
      <c r="D28" s="27"/>
      <c r="E28" s="27"/>
      <c r="F28" s="27"/>
    </row>
    <row r="29" spans="1:6" x14ac:dyDescent="0.2">
      <c r="A29" s="27"/>
      <c r="B29" s="27"/>
      <c r="C29" s="27"/>
      <c r="D29" s="27"/>
      <c r="E29" s="27"/>
      <c r="F29" s="27"/>
    </row>
    <row r="30" spans="1:6" x14ac:dyDescent="0.2">
      <c r="A30" s="27"/>
      <c r="B30" s="27"/>
      <c r="C30" s="27"/>
      <c r="D30" s="27"/>
      <c r="E30" s="27"/>
      <c r="F30" s="27"/>
    </row>
    <row r="31" spans="1:6" x14ac:dyDescent="0.2">
      <c r="A31" s="27"/>
      <c r="B31" s="27"/>
      <c r="C31" s="27"/>
      <c r="D31" s="27"/>
      <c r="E31" s="27"/>
      <c r="F31" s="27"/>
    </row>
    <row r="32" spans="1:6" x14ac:dyDescent="0.2">
      <c r="A32" s="27"/>
      <c r="B32" s="27"/>
      <c r="C32" s="27"/>
      <c r="D32" s="27"/>
      <c r="E32" s="27"/>
      <c r="F32" s="27"/>
    </row>
    <row r="33" spans="1:6" x14ac:dyDescent="0.2">
      <c r="A33" s="27"/>
      <c r="B33" s="27"/>
      <c r="C33" s="27"/>
      <c r="D33" s="27"/>
      <c r="E33" s="27"/>
      <c r="F33" s="27"/>
    </row>
    <row r="34" spans="1:6" x14ac:dyDescent="0.2">
      <c r="A34" s="27"/>
      <c r="B34" s="27"/>
      <c r="C34" s="27"/>
      <c r="D34" s="27"/>
      <c r="E34" s="27"/>
      <c r="F34" s="27"/>
    </row>
    <row r="35" spans="1:6" x14ac:dyDescent="0.2">
      <c r="A35" s="27"/>
      <c r="B35" s="27"/>
      <c r="C35" s="27"/>
      <c r="D35" s="27"/>
      <c r="E35" s="27"/>
      <c r="F35" s="27"/>
    </row>
    <row r="36" spans="1:6" x14ac:dyDescent="0.2">
      <c r="A36" s="27"/>
      <c r="B36" s="27"/>
      <c r="C36" s="27"/>
      <c r="D36" s="27"/>
      <c r="E36" s="27"/>
      <c r="F36" s="27"/>
    </row>
    <row r="37" spans="1:6" ht="51.75" customHeight="1" x14ac:dyDescent="0.2">
      <c r="A37" s="26" t="s">
        <v>36</v>
      </c>
      <c r="B37" s="26"/>
      <c r="C37" s="26"/>
      <c r="D37" s="26"/>
      <c r="E37" s="26"/>
      <c r="F37" s="26"/>
    </row>
    <row r="38" spans="1:6" x14ac:dyDescent="0.2">
      <c r="A38" s="27"/>
      <c r="B38" s="27"/>
      <c r="C38" s="27"/>
      <c r="D38" s="27"/>
      <c r="E38" s="27"/>
      <c r="F38" s="27"/>
    </row>
    <row r="39" spans="1:6" x14ac:dyDescent="0.2">
      <c r="A39" s="27"/>
      <c r="B39" s="27"/>
      <c r="C39" s="27"/>
      <c r="D39" s="27"/>
      <c r="E39" s="27"/>
      <c r="F39" s="27"/>
    </row>
    <row r="40" spans="1:6" x14ac:dyDescent="0.2">
      <c r="A40" s="27"/>
      <c r="B40" s="27"/>
      <c r="C40" s="27"/>
      <c r="D40" s="27"/>
      <c r="E40" s="27"/>
      <c r="F40" s="27"/>
    </row>
    <row r="41" spans="1:6" x14ac:dyDescent="0.2">
      <c r="A41" s="27"/>
      <c r="B41" s="27"/>
      <c r="C41" s="27"/>
      <c r="D41" s="27"/>
      <c r="E41" s="27"/>
      <c r="F41" s="27"/>
    </row>
    <row r="42" spans="1:6" x14ac:dyDescent="0.2">
      <c r="A42" s="27"/>
      <c r="B42" s="27"/>
      <c r="C42" s="27"/>
      <c r="D42" s="27"/>
      <c r="E42" s="27"/>
      <c r="F42" s="27"/>
    </row>
    <row r="43" spans="1:6" x14ac:dyDescent="0.2">
      <c r="A43" s="27"/>
      <c r="B43" s="27"/>
      <c r="C43" s="27"/>
      <c r="D43" s="27"/>
      <c r="E43" s="27"/>
      <c r="F43" s="27"/>
    </row>
    <row r="44" spans="1:6" x14ac:dyDescent="0.2">
      <c r="A44" s="27"/>
      <c r="B44" s="27"/>
      <c r="C44" s="27"/>
      <c r="D44" s="27"/>
      <c r="E44" s="27"/>
      <c r="F44" s="27"/>
    </row>
    <row r="45" spans="1:6" x14ac:dyDescent="0.2">
      <c r="A45" s="27"/>
      <c r="B45" s="27"/>
      <c r="C45" s="27"/>
      <c r="D45" s="27"/>
      <c r="E45" s="27"/>
      <c r="F45" s="27"/>
    </row>
    <row r="46" spans="1:6" x14ac:dyDescent="0.2">
      <c r="A46" s="27"/>
      <c r="B46" s="27"/>
      <c r="C46" s="27"/>
      <c r="D46" s="27"/>
      <c r="E46" s="27"/>
      <c r="F46" s="27"/>
    </row>
    <row r="47" spans="1:6" x14ac:dyDescent="0.2">
      <c r="A47" s="27"/>
      <c r="B47" s="27"/>
      <c r="C47" s="27"/>
      <c r="D47" s="27"/>
      <c r="E47" s="27"/>
      <c r="F47" s="27"/>
    </row>
    <row r="48" spans="1:6" x14ac:dyDescent="0.2">
      <c r="A48" s="27"/>
      <c r="B48" s="27"/>
      <c r="C48" s="27"/>
      <c r="D48" s="27"/>
      <c r="E48" s="27"/>
      <c r="F48" s="27"/>
    </row>
  </sheetData>
  <mergeCells count="27">
    <mergeCell ref="A1:F1"/>
    <mergeCell ref="A2:B2"/>
    <mergeCell ref="C2:D2"/>
    <mergeCell ref="E2:F2"/>
    <mergeCell ref="A3:B3"/>
    <mergeCell ref="C3:D3"/>
    <mergeCell ref="E3:F3"/>
    <mergeCell ref="A5:F5"/>
    <mergeCell ref="A6:B6"/>
    <mergeCell ref="C6:D6"/>
    <mergeCell ref="E6:F6"/>
    <mergeCell ref="A7:B7"/>
    <mergeCell ref="C7:D7"/>
    <mergeCell ref="E7:F7"/>
    <mergeCell ref="A13:F13"/>
    <mergeCell ref="A14:F24"/>
    <mergeCell ref="A37:F37"/>
    <mergeCell ref="A38:F48"/>
    <mergeCell ref="A9:F9"/>
    <mergeCell ref="A10:B10"/>
    <mergeCell ref="C10:D10"/>
    <mergeCell ref="E10:F10"/>
    <mergeCell ref="A11:B11"/>
    <mergeCell ref="C11:D11"/>
    <mergeCell ref="E11:F11"/>
    <mergeCell ref="A25:F25"/>
    <mergeCell ref="A26:F3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DA537-F86A-462E-9BDB-8CEA14404072}">
  <dimension ref="A1:P17"/>
  <sheetViews>
    <sheetView tabSelected="1" workbookViewId="0">
      <selection activeCell="B16" sqref="B16:C16"/>
    </sheetView>
  </sheetViews>
  <sheetFormatPr baseColWidth="10" defaultColWidth="0" defaultRowHeight="24" zeroHeight="1" x14ac:dyDescent="0.3"/>
  <cols>
    <col min="1" max="1" width="11.6640625" customWidth="1"/>
    <col min="2" max="2" width="10.5" style="23" customWidth="1"/>
    <col min="3" max="3" width="9.1640625" style="23" customWidth="1"/>
    <col min="4" max="16" width="9.1640625" customWidth="1"/>
    <col min="17" max="16384" width="9.1640625" hidden="1"/>
  </cols>
  <sheetData>
    <row r="1" spans="1:16" ht="21" thickBot="1" x14ac:dyDescent="0.3">
      <c r="A1" s="15" t="s">
        <v>20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 ht="18" thickTop="1" x14ac:dyDescent="0.2">
      <c r="A2" s="17" t="s">
        <v>37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spans="1:16" ht="17" x14ac:dyDescent="0.2">
      <c r="A3" s="17" t="s">
        <v>21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</row>
    <row r="4" spans="1:16" ht="16" x14ac:dyDescent="0.2">
      <c r="A4" s="18" t="s">
        <v>22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1:16" ht="15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6" spans="1:16" ht="21" x14ac:dyDescent="0.2">
      <c r="A6" s="19" t="s">
        <v>38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16" x14ac:dyDescent="0.2">
      <c r="A7" s="20" t="s">
        <v>26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</row>
    <row r="8" spans="1:16" ht="17" x14ac:dyDescent="0.2">
      <c r="A8" s="21" t="s">
        <v>27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1:16" ht="17" x14ac:dyDescent="0.2">
      <c r="A9" s="21" t="s">
        <v>23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16" ht="17" x14ac:dyDescent="0.2">
      <c r="A10" s="21" t="s">
        <v>39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16" ht="16" x14ac:dyDescent="0.2">
      <c r="A11" s="20" t="s">
        <v>24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16" ht="17" x14ac:dyDescent="0.2">
      <c r="A12" s="21" t="s">
        <v>25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16" ht="15" x14ac:dyDescent="0.2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16" ht="15" x14ac:dyDescent="0.2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16" x14ac:dyDescent="0.3">
      <c r="A15" s="22" t="s">
        <v>19</v>
      </c>
      <c r="B15" s="33">
        <v>0.35416666666666669</v>
      </c>
      <c r="C15" s="34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16" x14ac:dyDescent="0.3">
      <c r="A16" s="22" t="s">
        <v>29</v>
      </c>
      <c r="B16" s="35">
        <v>45981</v>
      </c>
      <c r="C16" s="34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16" x14ac:dyDescent="0.3">
      <c r="A17" s="22" t="s">
        <v>28</v>
      </c>
      <c r="B17" s="34" t="s">
        <v>40</v>
      </c>
      <c r="C17" s="34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</sheetData>
  <sheetProtection formatCells="0" formatColumns="0" formatRows="0" insertColumns="0" insertRows="0" insertHyperlinks="0" deleteColumns="0" deleteRows="0" sort="0" autoFilter="0" pivotTables="0"/>
  <mergeCells count="3">
    <mergeCell ref="B15:C15"/>
    <mergeCell ref="B16:C16"/>
    <mergeCell ref="B17:C17"/>
  </mergeCells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0bff66c5-45db-46ed-8b81-87959e069b90}" enabled="0" method="" siteId="{0bff66c5-45db-46ed-8b81-87959e069b9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Situatie 1</vt:lpstr>
      <vt:lpstr>Situatie 2</vt:lpstr>
      <vt:lpstr>Situatie 3</vt:lpstr>
      <vt:lpstr>Conclusie</vt:lpstr>
      <vt:lpstr>PE Gegevens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Lowie Vangaal</dc:creator>
  <cp:lastModifiedBy>Jan Castermans</cp:lastModifiedBy>
  <dcterms:created xsi:type="dcterms:W3CDTF">2015-06-05T18:19:34Z</dcterms:created>
  <dcterms:modified xsi:type="dcterms:W3CDTF">2025-11-18T13:14:26Z</dcterms:modified>
</cp:coreProperties>
</file>