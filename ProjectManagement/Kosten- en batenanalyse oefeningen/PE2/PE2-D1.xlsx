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12401891\Documents\2TIN\ProjectManagement\Kosten- en batenanalyse oefeningen\PE2\"/>
    </mc:Choice>
  </mc:AlternateContent>
  <xr:revisionPtr revIDLastSave="0" documentId="13_ncr:1_{8B5BBC59-52CC-41E1-B635-179663AFD2B0}" xr6:coauthVersionLast="47" xr6:coauthVersionMax="47" xr10:uidLastSave="{00000000-0000-0000-0000-000000000000}"/>
  <bookViews>
    <workbookView xWindow="-108" yWindow="-108" windowWidth="23256" windowHeight="13896" activeTab="3" xr2:uid="{4599E97C-CB19-4AFF-BFAF-44EF3169E95B}"/>
  </bookViews>
  <sheets>
    <sheet name="Situatie 1" sheetId="1" r:id="rId1"/>
    <sheet name="Situatie 2" sheetId="3" r:id="rId2"/>
    <sheet name="Situatie 3" sheetId="8" r:id="rId3"/>
    <sheet name="Conclusie" sheetId="5" r:id="rId4"/>
    <sheet name="PE Gegevens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9" i="8" l="1"/>
  <c r="C42" i="8"/>
  <c r="D38" i="3"/>
  <c r="C40" i="3"/>
  <c r="D41" i="1"/>
  <c r="D43" i="1"/>
  <c r="C43" i="1"/>
  <c r="B24" i="1"/>
  <c r="C16" i="1"/>
  <c r="B16" i="1"/>
  <c r="B9" i="1"/>
  <c r="E33" i="3"/>
  <c r="D18" i="3"/>
  <c r="E18" i="3" s="1"/>
  <c r="F18" i="3" s="1"/>
  <c r="B45" i="8"/>
  <c r="C45" i="8"/>
  <c r="D45" i="8"/>
  <c r="E45" i="8"/>
  <c r="F45" i="8"/>
  <c r="A45" i="8"/>
  <c r="C39" i="8"/>
  <c r="D42" i="8"/>
  <c r="F30" i="8"/>
  <c r="E30" i="8"/>
  <c r="D30" i="8"/>
  <c r="C30" i="8"/>
  <c r="B30" i="8"/>
  <c r="C27" i="8"/>
  <c r="D27" i="8" s="1"/>
  <c r="E27" i="8" s="1"/>
  <c r="F27" i="8" s="1"/>
  <c r="C41" i="1" l="1"/>
  <c r="F24" i="1"/>
  <c r="E24" i="1"/>
  <c r="D24" i="1"/>
  <c r="B42" i="3"/>
  <c r="C42" i="3"/>
  <c r="A42" i="3"/>
  <c r="C38" i="3"/>
  <c r="D40" i="3"/>
  <c r="C18" i="3"/>
  <c r="C21" i="1" l="1"/>
  <c r="D21" i="1" s="1"/>
  <c r="E21" i="1" s="1"/>
  <c r="F21" i="1" s="1"/>
  <c r="C13" i="1"/>
  <c r="D13" i="1" s="1"/>
  <c r="E13" i="1" s="1"/>
  <c r="F13" i="1" s="1"/>
  <c r="F1" i="8"/>
  <c r="E1" i="8"/>
  <c r="D1" i="8"/>
  <c r="C1" i="8"/>
  <c r="B1" i="8"/>
  <c r="F1" i="3"/>
  <c r="E1" i="3"/>
  <c r="D1" i="3"/>
  <c r="C1" i="3"/>
  <c r="B1" i="3"/>
  <c r="F1" i="1" l="1"/>
  <c r="E1" i="1"/>
  <c r="D1" i="1"/>
  <c r="C1" i="1"/>
  <c r="B1" i="1"/>
  <c r="C11" i="5" l="1"/>
  <c r="E11" i="5"/>
  <c r="F15" i="8"/>
  <c r="E15" i="8"/>
  <c r="D15" i="8"/>
  <c r="C15" i="8"/>
  <c r="B15" i="8"/>
  <c r="B8" i="8"/>
  <c r="A34" i="8" s="1"/>
  <c r="C7" i="5"/>
  <c r="C3" i="5"/>
  <c r="B22" i="8" l="1"/>
  <c r="B24" i="8" s="1"/>
  <c r="B31" i="8" s="1"/>
  <c r="B34" i="8" s="1"/>
  <c r="B35" i="8" s="1"/>
  <c r="C22" i="8"/>
  <c r="C24" i="8" s="1"/>
  <c r="C31" i="8" s="1"/>
  <c r="C34" i="8" s="1"/>
  <c r="D15" i="3"/>
  <c r="E15" i="3"/>
  <c r="F15" i="3"/>
  <c r="C15" i="3"/>
  <c r="B15" i="3"/>
  <c r="C32" i="1"/>
  <c r="D32" i="1"/>
  <c r="E32" i="1"/>
  <c r="F32" i="1"/>
  <c r="B32" i="1"/>
  <c r="F29" i="3"/>
  <c r="E29" i="3"/>
  <c r="D29" i="3"/>
  <c r="C29" i="3"/>
  <c r="B29" i="3"/>
  <c r="B22" i="3"/>
  <c r="B24" i="3" s="1"/>
  <c r="B8" i="3"/>
  <c r="A33" i="3" s="1"/>
  <c r="B30" i="3" l="1"/>
  <c r="B33" i="3" s="1"/>
  <c r="B34" i="3" s="1"/>
  <c r="C35" i="8"/>
  <c r="D22" i="8"/>
  <c r="D24" i="8" s="1"/>
  <c r="D31" i="8" s="1"/>
  <c r="D34" i="8" s="1"/>
  <c r="C22" i="3"/>
  <c r="C24" i="3" s="1"/>
  <c r="C30" i="3" s="1"/>
  <c r="C33" i="3" s="1"/>
  <c r="A36" i="1"/>
  <c r="A45" i="1" s="1"/>
  <c r="C19" i="1"/>
  <c r="C24" i="1" s="1"/>
  <c r="D16" i="1"/>
  <c r="D19" i="1" s="1"/>
  <c r="E16" i="1"/>
  <c r="E19" i="1" s="1"/>
  <c r="F16" i="1"/>
  <c r="F19" i="1" s="1"/>
  <c r="B19" i="1"/>
  <c r="F22" i="8" l="1"/>
  <c r="F24" i="8" s="1"/>
  <c r="F31" i="8" s="1"/>
  <c r="F34" i="8" s="1"/>
  <c r="E22" i="8"/>
  <c r="E24" i="8" s="1"/>
  <c r="E31" i="8" s="1"/>
  <c r="E34" i="8" s="1"/>
  <c r="D35" i="8"/>
  <c r="D22" i="3"/>
  <c r="D24" i="3" s="1"/>
  <c r="D30" i="3" s="1"/>
  <c r="C34" i="3"/>
  <c r="F26" i="1"/>
  <c r="F33" i="1" s="1"/>
  <c r="B26" i="1"/>
  <c r="B33" i="1" s="1"/>
  <c r="C26" i="1"/>
  <c r="C33" i="1" s="1"/>
  <c r="C45" i="1" s="1"/>
  <c r="E26" i="1"/>
  <c r="E33" i="1" s="1"/>
  <c r="D26" i="1"/>
  <c r="D33" i="1" s="1"/>
  <c r="B36" i="1" l="1"/>
  <c r="B37" i="1" s="1"/>
  <c r="B45" i="1"/>
  <c r="D33" i="3"/>
  <c r="D42" i="3"/>
  <c r="F36" i="1"/>
  <c r="F45" i="1"/>
  <c r="E36" i="1"/>
  <c r="E45" i="1"/>
  <c r="D36" i="1"/>
  <c r="D45" i="1"/>
  <c r="C36" i="1"/>
  <c r="E3" i="5"/>
  <c r="E35" i="8"/>
  <c r="F35" i="8" s="1"/>
  <c r="B39" i="8" s="1"/>
  <c r="A11" i="5" s="1"/>
  <c r="E22" i="3"/>
  <c r="E24" i="3" s="1"/>
  <c r="E30" i="3" s="1"/>
  <c r="F22" i="3"/>
  <c r="F24" i="3" s="1"/>
  <c r="F30" i="3" s="1"/>
  <c r="D34" i="3"/>
  <c r="C37" i="1" l="1"/>
  <c r="D37" i="1" s="1"/>
  <c r="E37" i="1" s="1"/>
  <c r="E42" i="3"/>
  <c r="F33" i="3"/>
  <c r="F42" i="3"/>
  <c r="E7" i="5" s="1"/>
  <c r="E34" i="3"/>
  <c r="F34" i="3" s="1"/>
  <c r="B38" i="3" s="1"/>
  <c r="A7" i="5" s="1"/>
  <c r="F37" i="1" l="1"/>
  <c r="B41" i="1" s="1"/>
  <c r="A3" i="5" s="1"/>
</calcChain>
</file>

<file path=xl/sharedStrings.xml><?xml version="1.0" encoding="utf-8"?>
<sst xmlns="http://schemas.openxmlformats.org/spreadsheetml/2006/main" count="123" uniqueCount="70">
  <si>
    <t>Projectcalculatieformulier</t>
  </si>
  <si>
    <t>EENMALIGE KOSTEN</t>
  </si>
  <si>
    <t>TOTAAL EENMALIGE KOSTEN</t>
  </si>
  <si>
    <t>EXPLOITATIE OUDE SYSTEEM</t>
  </si>
  <si>
    <t>TOTALE WERKINGSKOSTEN OS</t>
  </si>
  <si>
    <t>EXPLOITATIE NIEUWE SYSTEEM</t>
  </si>
  <si>
    <t>TOTALE WERKINGSKOSTEN NS</t>
  </si>
  <si>
    <t>TOTALE BESPARINGEN</t>
  </si>
  <si>
    <t>ANDERE OPBRENGSTEN</t>
  </si>
  <si>
    <t>TOTAAL ANDERE OPBRENGSTEN</t>
  </si>
  <si>
    <t>TOTAAL OPBRENGSTEN</t>
  </si>
  <si>
    <t>ACTUALISEREN van de opbrengsten</t>
  </si>
  <si>
    <t>Gecum. NCW</t>
  </si>
  <si>
    <t>Vul onderstaande gegevens in, deze worden gekopieerd naar het laatste tabblad.</t>
  </si>
  <si>
    <t>Uitkomst analyse</t>
  </si>
  <si>
    <t>Kengetal</t>
  </si>
  <si>
    <t>NCW</t>
  </si>
  <si>
    <t>TVT</t>
  </si>
  <si>
    <t>IR(R)</t>
  </si>
  <si>
    <t>Tijdstip</t>
  </si>
  <si>
    <t>PE2: Kosten- en batenanalyse</t>
  </si>
  <si>
    <t>Lectoren: Lowie Vangaal – Jan Castermans</t>
  </si>
  <si>
    <t>Type taak: groepstaak - Weging: 4%</t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</si>
  <si>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De TVT noteer je in het datumformaat ‘dd/mm/jjjj’. Je dient geen rekening te houden met schrikkeljaren. Afwijkingen tot 2 dagen worden geaccepteerd.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</si>
  <si>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Times New Roman"/>
        <family val="1"/>
      </rPr>
      <t>Controleer grondig alle uitwerkingen en de samenvatting op het vierde tabblad.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</si>
  <si>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Fouten in de berekening kunnen drastische gevolgen hebben in jullie eindconclusie en op het totaalcijfer van de PE.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</si>
  <si>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Times New Roman"/>
        <family val="1"/>
      </rPr>
      <t>Voor de uitwerking gebruik je dit Excel-document, andere uitwerken worden niet nagekeken.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</si>
  <si>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Gelieve geen afrondingen uit te voeren. Geldbedragen zijn afgerond tot 2 cijfers na de komma. Ook de IRR noteer je tot 2 cijfers na de komma.</t>
    </r>
  </si>
  <si>
    <t>Klas</t>
  </si>
  <si>
    <t>Datum</t>
  </si>
  <si>
    <t>IRR</t>
  </si>
  <si>
    <t>Situatie 1</t>
  </si>
  <si>
    <t>Situatie 2</t>
  </si>
  <si>
    <t>Situatie 3</t>
  </si>
  <si>
    <t>Welk van de drie voorstellen verdient volgens jullie de voorkeur? Verwijs expliciet naar de cijfermatige resultaten uit jullie eigen analyses.</t>
  </si>
  <si>
    <t>Welke aannames hebben jullie gemaakt die volgens het team het sterkst hebben meegewogen in je beslissing? Waarom waren net deze aannames belangrijk? M.a.w.: hoe ben je tot jouw voorkeur gekomen?</t>
  </si>
  <si>
    <t>Wat is volgens jullie de grootste onzekerheid in deze analyses, en hoe zou deze (positief of negatief) jullie voorkeur kunnen veranderen?</t>
  </si>
  <si>
    <t>AJ: 2025-2026 – 2TIN</t>
  </si>
  <si>
    <t>PE 2: Opgave Kosten- en batenanalyse- academiejaar 2025 – 2026</t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</si>
  <si>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De analyse start op 01 januari 2026.</t>
    </r>
  </si>
  <si>
    <t>2TIN D</t>
  </si>
  <si>
    <t>Analyse en design van een webshop</t>
  </si>
  <si>
    <t>Voorbereidingskosten</t>
  </si>
  <si>
    <t>Ontwikkelingskosten</t>
  </si>
  <si>
    <t>Aankoop architectuur</t>
  </si>
  <si>
    <t>Investeringskosten van het project</t>
  </si>
  <si>
    <t>Basiskosten huidig systeem</t>
  </si>
  <si>
    <t>Technisch onderhoud huidig systeem</t>
  </si>
  <si>
    <t>Hosting met SLA garantie</t>
  </si>
  <si>
    <t>Kosten gebruik huidige website</t>
  </si>
  <si>
    <t>Voorraadkosten</t>
  </si>
  <si>
    <t>werkingskosten het oude systeem</t>
  </si>
  <si>
    <t>Verzendkosten</t>
  </si>
  <si>
    <t>Marketingkosten</t>
  </si>
  <si>
    <t>Maandelijkse kosten SAAS-webshopsysteem</t>
  </si>
  <si>
    <t>Verwachte opbrengsten uit verkoop</t>
  </si>
  <si>
    <t>Inkomsten uit reclame</t>
  </si>
  <si>
    <t>Verwacht inkomsten uit nieuwe klanten</t>
  </si>
  <si>
    <t>Analyse en design nieuwe webshop</t>
  </si>
  <si>
    <t>Ontwikkeling nieuwe website</t>
  </si>
  <si>
    <t>Researchkosten A.I. systeem voor data analyse</t>
  </si>
  <si>
    <t>Voorraadkosten campagnematerialen</t>
  </si>
  <si>
    <t>Verzendingskosten</t>
  </si>
  <si>
    <t>Analysekosten</t>
  </si>
  <si>
    <t>Besparingen op personeelskost</t>
  </si>
  <si>
    <t>Opbrengsten uit verkoop</t>
  </si>
  <si>
    <t>Opbrengsten uit reclame</t>
  </si>
  <si>
    <t>Wij verkiezen situatie 2: deze heeft de hoogste interne rendabiliteit en een gemiddelde NCW. Als bonus, heeft het ook de snelste terugverdientijd. We gaan er wel van uit dat zodra de MAGA-merch op is, de webshop opgedoekt zal worden. We zien namelijk een neerwaartse trend in de gecum. NCW.</t>
  </si>
  <si>
    <t>De toekomst: gaan we de webshop houden nadat de originele voorraad op is? Als we in de toekomst de webshop willen blijven gebruiken voor bv. nieuwe merch, dan wordt situatie 1 aantrekkelijker.</t>
  </si>
  <si>
    <t>De aanname dat de webshop niet eeuwig zal bestaan en na een aantal jaar opgedoekt zal worden (aangezien het gaat over oude MAGA-merch en zodra de voorraad op begint te raken, zullen we minder gaan verdienen).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</si>
</sst>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€&quot;\ * #,##0.00_ ;_ &quot;€&quot;\ * \-#,##0.00_ ;_ &quot;€&quot;\ * &quot;-&quot;??_ ;_ @_ "/>
    <numFmt numFmtId="164" formatCode="_ &quot;€&quot;\ * #,##0.000_ ;_ &quot;€&quot;\ * \-#,##0.000_ ;_ &quot;€&quot;\ * &quot;-&quot;???_ ;_ @_ 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Times New Roman"/>
      <family val="1"/>
    </font>
    <font>
      <sz val="13"/>
      <color rgb="FF2E74B5"/>
      <name val="Calibri Light"/>
      <family val="2"/>
    </font>
    <font>
      <sz val="12"/>
      <color rgb="FF1F4D78"/>
      <name val="Calibri Light"/>
      <family val="2"/>
    </font>
    <font>
      <sz val="16"/>
      <color rgb="FF2E74B5"/>
      <name val="Calibri Light"/>
      <family val="2"/>
    </font>
    <font>
      <sz val="12"/>
      <color theme="1"/>
      <name val="Symbol"/>
      <family val="1"/>
      <charset val="2"/>
    </font>
    <font>
      <sz val="7"/>
      <color theme="1"/>
      <name val="Times New Roman"/>
      <family val="1"/>
    </font>
    <font>
      <sz val="12"/>
      <color theme="1"/>
      <name val="Courier New"/>
      <family val="3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theme="6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1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2" borderId="0" applyNumberFormat="0" applyBorder="0" applyAlignment="0" applyProtection="0"/>
    <xf numFmtId="0" fontId="5" fillId="3" borderId="3" applyNumberFormat="0" applyAlignment="0" applyProtection="0"/>
    <xf numFmtId="0" fontId="1" fillId="4" borderId="4" applyNumberFormat="0" applyFont="0" applyAlignment="0" applyProtection="0"/>
    <xf numFmtId="0" fontId="7" fillId="5" borderId="0" applyNumberFormat="0" applyBorder="0" applyAlignment="0" applyProtection="0"/>
    <xf numFmtId="0" fontId="8" fillId="0" borderId="5" applyNumberFormat="0" applyFill="0" applyAlignment="0" applyProtection="0"/>
    <xf numFmtId="0" fontId="9" fillId="6" borderId="3" applyNumberFormat="0" applyAlignment="0" applyProtection="0"/>
    <xf numFmtId="0" fontId="10" fillId="7" borderId="6" applyNumberFormat="0" applyAlignment="0" applyProtection="0"/>
    <xf numFmtId="0" fontId="11" fillId="0" borderId="0" applyNumberFormat="0" applyFill="0" applyBorder="0" applyAlignment="0" applyProtection="0"/>
    <xf numFmtId="0" fontId="1" fillId="8" borderId="0" applyNumberFormat="0" applyBorder="0" applyAlignment="0" applyProtection="0"/>
  </cellStyleXfs>
  <cellXfs count="37">
    <xf numFmtId="0" fontId="0" fillId="0" borderId="0" xfId="0"/>
    <xf numFmtId="0" fontId="6" fillId="0" borderId="0" xfId="0" applyFont="1"/>
    <xf numFmtId="0" fontId="4" fillId="2" borderId="0" xfId="5"/>
    <xf numFmtId="10" fontId="0" fillId="0" borderId="0" xfId="2" applyNumberFormat="1" applyFont="1"/>
    <xf numFmtId="44" fontId="0" fillId="0" borderId="0" xfId="1" applyFont="1"/>
    <xf numFmtId="0" fontId="7" fillId="5" borderId="0" xfId="8"/>
    <xf numFmtId="0" fontId="0" fillId="0" borderId="0" xfId="0" applyProtection="1">
      <protection locked="0"/>
    </xf>
    <xf numFmtId="44" fontId="6" fillId="0" borderId="0" xfId="1" applyFont="1"/>
    <xf numFmtId="164" fontId="5" fillId="3" borderId="3" xfId="6" applyNumberFormat="1"/>
    <xf numFmtId="14" fontId="5" fillId="3" borderId="3" xfId="6" applyNumberFormat="1"/>
    <xf numFmtId="0" fontId="3" fillId="0" borderId="2" xfId="4"/>
    <xf numFmtId="0" fontId="3" fillId="0" borderId="2" xfId="4" quotePrefix="1"/>
    <xf numFmtId="0" fontId="2" fillId="0" borderId="1" xfId="3"/>
    <xf numFmtId="0" fontId="8" fillId="9" borderId="5" xfId="9" applyFill="1"/>
    <xf numFmtId="0" fontId="0" fillId="9" borderId="0" xfId="0" applyFill="1"/>
    <xf numFmtId="0" fontId="13" fillId="9" borderId="0" xfId="0" applyFont="1" applyFill="1" applyAlignment="1">
      <alignment vertical="center"/>
    </xf>
    <xf numFmtId="0" fontId="14" fillId="9" borderId="0" xfId="0" applyFont="1" applyFill="1" applyAlignment="1">
      <alignment vertical="center"/>
    </xf>
    <xf numFmtId="0" fontId="15" fillId="9" borderId="0" xfId="0" applyFont="1" applyFill="1" applyAlignment="1">
      <alignment vertical="center"/>
    </xf>
    <xf numFmtId="0" fontId="16" fillId="9" borderId="0" xfId="0" applyFont="1" applyFill="1" applyAlignment="1">
      <alignment horizontal="left" vertical="center" indent="5"/>
    </xf>
    <xf numFmtId="0" fontId="18" fillId="9" borderId="0" xfId="0" applyFont="1" applyFill="1" applyAlignment="1">
      <alignment horizontal="left" vertical="center" indent="10"/>
    </xf>
    <xf numFmtId="0" fontId="11" fillId="9" borderId="0" xfId="12" applyFill="1"/>
    <xf numFmtId="0" fontId="20" fillId="0" borderId="0" xfId="0" applyFont="1"/>
    <xf numFmtId="10" fontId="5" fillId="3" borderId="3" xfId="6" applyNumberFormat="1"/>
    <xf numFmtId="44" fontId="7" fillId="5" borderId="0" xfId="1" applyFont="1" applyFill="1"/>
    <xf numFmtId="44" fontId="0" fillId="0" borderId="0" xfId="0" applyNumberFormat="1"/>
    <xf numFmtId="9" fontId="5" fillId="3" borderId="3" xfId="2" applyFont="1" applyFill="1" applyBorder="1"/>
    <xf numFmtId="0" fontId="0" fillId="4" borderId="4" xfId="7" applyFont="1" applyAlignment="1">
      <alignment horizontal="center"/>
    </xf>
    <xf numFmtId="0" fontId="0" fillId="4" borderId="4" xfId="7" applyFont="1" applyAlignment="1">
      <alignment horizontal="left" wrapText="1"/>
    </xf>
    <xf numFmtId="0" fontId="0" fillId="0" borderId="0" xfId="0" applyAlignment="1">
      <alignment horizontal="center" wrapText="1"/>
    </xf>
    <xf numFmtId="0" fontId="10" fillId="7" borderId="6" xfId="11" applyAlignment="1">
      <alignment horizontal="center"/>
    </xf>
    <xf numFmtId="0" fontId="0" fillId="4" borderId="4" xfId="7" quotePrefix="1" applyFont="1" applyAlignment="1">
      <alignment horizontal="center"/>
    </xf>
    <xf numFmtId="44" fontId="9" fillId="6" borderId="3" xfId="1" applyFont="1" applyFill="1" applyBorder="1" applyAlignment="1">
      <alignment horizontal="center"/>
    </xf>
    <xf numFmtId="14" fontId="9" fillId="6" borderId="3" xfId="10" applyNumberFormat="1" applyAlignment="1">
      <alignment horizontal="center"/>
    </xf>
    <xf numFmtId="10" fontId="9" fillId="6" borderId="3" xfId="2" applyNumberFormat="1" applyFont="1" applyFill="1" applyBorder="1" applyAlignment="1">
      <alignment horizontal="center"/>
    </xf>
    <xf numFmtId="20" fontId="19" fillId="8" borderId="0" xfId="13" applyNumberFormat="1" applyFont="1" applyBorder="1" applyAlignment="1">
      <alignment horizontal="center"/>
    </xf>
    <xf numFmtId="0" fontId="19" fillId="8" borderId="0" xfId="13" applyFont="1" applyBorder="1" applyAlignment="1">
      <alignment horizontal="center"/>
    </xf>
    <xf numFmtId="14" fontId="19" fillId="8" borderId="0" xfId="13" applyNumberFormat="1" applyFont="1" applyBorder="1" applyAlignment="1">
      <alignment horizontal="center"/>
    </xf>
  </cellXfs>
  <cellStyles count="14">
    <cellStyle name="20% - Accent2" xfId="13" builtinId="34"/>
    <cellStyle name="Accent3" xfId="8" builtinId="37"/>
    <cellStyle name="Berekening" xfId="10" builtinId="22"/>
    <cellStyle name="Controlecel" xfId="11" builtinId="23"/>
    <cellStyle name="Invoer" xfId="6" builtinId="20"/>
    <cellStyle name="Kop 1" xfId="9" builtinId="16"/>
    <cellStyle name="Kop 2" xfId="3" builtinId="17"/>
    <cellStyle name="Kop 3" xfId="4" builtinId="18"/>
    <cellStyle name="Neutraal" xfId="5" builtinId="28"/>
    <cellStyle name="Notitie" xfId="7" builtinId="10"/>
    <cellStyle name="Procent" xfId="2" builtinId="5"/>
    <cellStyle name="Standaard" xfId="0" builtinId="0"/>
    <cellStyle name="Valuta" xfId="1" builtinId="4"/>
    <cellStyle name="Waarschuwingstekst" xfId="12" builtin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5"/>
  <sheetViews>
    <sheetView topLeftCell="A20" workbookViewId="0">
      <selection activeCell="E43" sqref="E43"/>
    </sheetView>
  </sheetViews>
  <sheetFormatPr defaultColWidth="0" defaultRowHeight="14.4" x14ac:dyDescent="0.3"/>
  <cols>
    <col min="1" max="1" width="32.77734375" bestFit="1" customWidth="1"/>
    <col min="2" max="6" width="15.6640625" customWidth="1"/>
    <col min="7" max="16383" width="9.109375" hidden="1"/>
    <col min="16384" max="16384" width="9.109375" hidden="1" customWidth="1"/>
  </cols>
  <sheetData>
    <row r="1" spans="1:6" x14ac:dyDescent="0.3">
      <c r="A1" s="2" t="s">
        <v>0</v>
      </c>
      <c r="B1" s="2">
        <f ca="1">YEAR(NOW())+1</f>
        <v>2026</v>
      </c>
      <c r="C1" s="2">
        <f ca="1">YEAR(NOW())+2</f>
        <v>2027</v>
      </c>
      <c r="D1" s="2">
        <f ca="1">YEAR(NOW())+3</f>
        <v>2028</v>
      </c>
      <c r="E1" s="2">
        <f ca="1">YEAR(NOW())+4</f>
        <v>2029</v>
      </c>
      <c r="F1" s="2">
        <f ca="1">YEAR(NOW())+5</f>
        <v>2030</v>
      </c>
    </row>
    <row r="2" spans="1:6" x14ac:dyDescent="0.3">
      <c r="A2" s="1" t="s">
        <v>1</v>
      </c>
      <c r="B2" s="4"/>
      <c r="C2" s="4"/>
      <c r="D2" s="4"/>
      <c r="E2" s="4"/>
      <c r="F2" s="4"/>
    </row>
    <row r="3" spans="1:6" x14ac:dyDescent="0.3">
      <c r="A3" t="s">
        <v>41</v>
      </c>
      <c r="B3" s="4">
        <v>573500</v>
      </c>
      <c r="C3" s="4"/>
      <c r="D3" s="4"/>
      <c r="E3" s="4"/>
      <c r="F3" s="4"/>
    </row>
    <row r="4" spans="1:6" x14ac:dyDescent="0.3">
      <c r="A4" t="s">
        <v>42</v>
      </c>
      <c r="B4" s="4">
        <v>100000</v>
      </c>
      <c r="C4" s="4"/>
      <c r="D4" s="4"/>
      <c r="E4" s="4"/>
      <c r="F4" s="4"/>
    </row>
    <row r="5" spans="1:6" x14ac:dyDescent="0.3">
      <c r="A5" t="s">
        <v>43</v>
      </c>
      <c r="B5" s="4">
        <v>120000</v>
      </c>
      <c r="C5" s="4"/>
      <c r="D5" s="4"/>
      <c r="E5" s="4"/>
      <c r="F5" s="4"/>
    </row>
    <row r="6" spans="1:6" x14ac:dyDescent="0.3">
      <c r="A6" t="s">
        <v>44</v>
      </c>
      <c r="B6" s="4">
        <v>220000</v>
      </c>
      <c r="C6" s="4"/>
      <c r="D6" s="4"/>
      <c r="E6" s="4"/>
      <c r="F6" s="4"/>
    </row>
    <row r="7" spans="1:6" x14ac:dyDescent="0.3">
      <c r="A7" t="s">
        <v>45</v>
      </c>
      <c r="B7" s="4">
        <v>145000</v>
      </c>
      <c r="C7" s="4"/>
      <c r="D7" s="4"/>
      <c r="E7" s="4"/>
      <c r="F7" s="4"/>
    </row>
    <row r="8" spans="1:6" x14ac:dyDescent="0.3">
      <c r="A8" s="3">
        <v>2.8400000000000002E-2</v>
      </c>
      <c r="B8" s="4"/>
      <c r="C8" s="4"/>
      <c r="D8" s="4"/>
      <c r="E8" s="4"/>
      <c r="F8" s="4"/>
    </row>
    <row r="9" spans="1:6" x14ac:dyDescent="0.3">
      <c r="A9" s="1" t="s">
        <v>2</v>
      </c>
      <c r="B9" s="4">
        <f>SUM(B3:B8)</f>
        <v>1158500</v>
      </c>
      <c r="C9" s="4"/>
      <c r="D9" s="4"/>
      <c r="E9" s="4"/>
      <c r="F9" s="4"/>
    </row>
    <row r="10" spans="1:6" x14ac:dyDescent="0.3">
      <c r="A10" s="5"/>
      <c r="B10" s="23"/>
      <c r="C10" s="23"/>
      <c r="D10" s="23"/>
      <c r="E10" s="23"/>
      <c r="F10" s="23"/>
    </row>
    <row r="11" spans="1:6" x14ac:dyDescent="0.3">
      <c r="A11" s="1" t="s">
        <v>3</v>
      </c>
      <c r="B11" s="4"/>
      <c r="C11" s="4"/>
      <c r="D11" s="4"/>
      <c r="E11" s="4"/>
      <c r="F11" s="4"/>
    </row>
    <row r="12" spans="1:6" x14ac:dyDescent="0.3">
      <c r="A12" t="s">
        <v>46</v>
      </c>
      <c r="B12" s="4">
        <v>275500</v>
      </c>
      <c r="C12" s="4">
        <v>275500</v>
      </c>
      <c r="D12" s="4">
        <v>275500</v>
      </c>
      <c r="E12" s="4">
        <v>350000</v>
      </c>
      <c r="F12" s="4">
        <v>350000</v>
      </c>
    </row>
    <row r="13" spans="1:6" x14ac:dyDescent="0.3">
      <c r="A13" t="s">
        <v>47</v>
      </c>
      <c r="B13" s="4">
        <v>190000</v>
      </c>
      <c r="C13" s="4">
        <f>B13*1.02</f>
        <v>193800</v>
      </c>
      <c r="D13" s="4">
        <f t="shared" ref="D13:F13" si="0">C13*1.02</f>
        <v>197676</v>
      </c>
      <c r="E13" s="4">
        <f t="shared" si="0"/>
        <v>201629.52</v>
      </c>
      <c r="F13" s="4">
        <f t="shared" si="0"/>
        <v>205662.11040000001</v>
      </c>
    </row>
    <row r="14" spans="1:6" x14ac:dyDescent="0.3">
      <c r="A14" t="s">
        <v>48</v>
      </c>
      <c r="B14" s="4">
        <v>75000</v>
      </c>
      <c r="C14" s="4">
        <v>75000</v>
      </c>
      <c r="D14" s="4">
        <v>75000</v>
      </c>
      <c r="E14" s="4">
        <v>75000</v>
      </c>
      <c r="F14" s="4">
        <v>75000</v>
      </c>
    </row>
    <row r="15" spans="1:6" x14ac:dyDescent="0.3">
      <c r="A15" t="s">
        <v>49</v>
      </c>
      <c r="B15" s="4">
        <v>20000</v>
      </c>
      <c r="C15" s="4">
        <v>20000</v>
      </c>
      <c r="D15" s="4">
        <v>20000</v>
      </c>
      <c r="E15" s="4">
        <v>20000</v>
      </c>
      <c r="F15" s="4">
        <v>20000</v>
      </c>
    </row>
    <row r="16" spans="1:6" x14ac:dyDescent="0.3">
      <c r="A16" s="1" t="s">
        <v>4</v>
      </c>
      <c r="B16" s="4">
        <f>SUM(B12:B15)</f>
        <v>560500</v>
      </c>
      <c r="C16" s="4">
        <f>SUM(C12:C15)</f>
        <v>564300</v>
      </c>
      <c r="D16" s="4">
        <f t="shared" ref="D16:F16" si="1">SUM(D12:D15)</f>
        <v>568176</v>
      </c>
      <c r="E16" s="4">
        <f t="shared" si="1"/>
        <v>646629.52</v>
      </c>
      <c r="F16" s="4">
        <f t="shared" si="1"/>
        <v>650662.11040000001</v>
      </c>
    </row>
    <row r="17" spans="1:6" x14ac:dyDescent="0.3">
      <c r="A17" s="5"/>
      <c r="B17" s="23"/>
      <c r="C17" s="23"/>
      <c r="D17" s="23"/>
      <c r="E17" s="23"/>
      <c r="F17" s="23"/>
    </row>
    <row r="18" spans="1:6" x14ac:dyDescent="0.3">
      <c r="A18" s="1" t="s">
        <v>5</v>
      </c>
      <c r="B18" s="4"/>
      <c r="C18" s="4"/>
      <c r="D18" s="4"/>
      <c r="E18" s="4"/>
      <c r="F18" s="4"/>
    </row>
    <row r="19" spans="1:6" x14ac:dyDescent="0.3">
      <c r="A19" t="s">
        <v>51</v>
      </c>
      <c r="B19" s="4">
        <f>B16</f>
        <v>560500</v>
      </c>
      <c r="C19" s="4">
        <f>C16</f>
        <v>564300</v>
      </c>
      <c r="D19" s="4">
        <f>D16</f>
        <v>568176</v>
      </c>
      <c r="E19" s="4">
        <f>E16</f>
        <v>646629.52</v>
      </c>
      <c r="F19" s="4">
        <f>F16</f>
        <v>650662.11040000001</v>
      </c>
    </row>
    <row r="20" spans="1:6" x14ac:dyDescent="0.3">
      <c r="A20" t="s">
        <v>50</v>
      </c>
      <c r="B20" s="4">
        <v>550000</v>
      </c>
      <c r="C20" s="4">
        <v>450000</v>
      </c>
      <c r="D20" s="4">
        <v>350000</v>
      </c>
      <c r="E20" s="4">
        <v>250000</v>
      </c>
      <c r="F20" s="4">
        <v>150000</v>
      </c>
    </row>
    <row r="21" spans="1:6" x14ac:dyDescent="0.3">
      <c r="A21" t="s">
        <v>52</v>
      </c>
      <c r="B21" s="4">
        <v>120000</v>
      </c>
      <c r="C21" s="4">
        <f>B21*1.025</f>
        <v>122999.99999999999</v>
      </c>
      <c r="D21" s="4">
        <f t="shared" ref="D21:F21" si="2">C21*1.025</f>
        <v>126074.99999999997</v>
      </c>
      <c r="E21" s="4">
        <f t="shared" si="2"/>
        <v>129226.87499999996</v>
      </c>
      <c r="F21" s="4">
        <f t="shared" si="2"/>
        <v>132457.54687499994</v>
      </c>
    </row>
    <row r="22" spans="1:6" x14ac:dyDescent="0.3">
      <c r="A22" t="s">
        <v>53</v>
      </c>
      <c r="B22" s="4">
        <v>250000</v>
      </c>
      <c r="C22" s="4">
        <v>15000</v>
      </c>
      <c r="D22" s="4">
        <v>15000</v>
      </c>
      <c r="E22" s="4">
        <v>15000</v>
      </c>
      <c r="F22" s="4">
        <v>15000</v>
      </c>
    </row>
    <row r="23" spans="1:6" x14ac:dyDescent="0.3">
      <c r="A23" t="s">
        <v>54</v>
      </c>
      <c r="B23" s="4">
        <v>24000</v>
      </c>
      <c r="C23" s="4">
        <v>24000</v>
      </c>
      <c r="D23" s="4">
        <v>24000</v>
      </c>
      <c r="E23" s="4">
        <v>24000</v>
      </c>
      <c r="F23" s="4">
        <v>24000</v>
      </c>
    </row>
    <row r="24" spans="1:6" x14ac:dyDescent="0.3">
      <c r="A24" s="1" t="s">
        <v>6</v>
      </c>
      <c r="B24" s="4">
        <f>SUM(B19:B23)</f>
        <v>1504500</v>
      </c>
      <c r="C24" s="4">
        <f>SUM(C19:C23)</f>
        <v>1176300</v>
      </c>
      <c r="D24" s="4">
        <f>SUM(D19:D23)</f>
        <v>1083251</v>
      </c>
      <c r="E24" s="4">
        <f>SUM(E19:E23)</f>
        <v>1064856.395</v>
      </c>
      <c r="F24" s="4">
        <f>SUM(F19:F23)</f>
        <v>972119.65727499989</v>
      </c>
    </row>
    <row r="25" spans="1:6" x14ac:dyDescent="0.3">
      <c r="A25" s="5"/>
      <c r="B25" s="23"/>
      <c r="C25" s="23"/>
      <c r="D25" s="23"/>
      <c r="E25" s="23"/>
      <c r="F25" s="23"/>
    </row>
    <row r="26" spans="1:6" x14ac:dyDescent="0.3">
      <c r="A26" s="1" t="s">
        <v>7</v>
      </c>
      <c r="B26" s="4">
        <f>B16-B24</f>
        <v>-944000</v>
      </c>
      <c r="C26" s="4">
        <f>C16-C24</f>
        <v>-612000</v>
      </c>
      <c r="D26" s="4">
        <f>D16-D24</f>
        <v>-515075</v>
      </c>
      <c r="E26" s="4">
        <f>E16-E24</f>
        <v>-418226.875</v>
      </c>
      <c r="F26" s="4">
        <f>F16-F24</f>
        <v>-321457.54687499988</v>
      </c>
    </row>
    <row r="27" spans="1:6" x14ac:dyDescent="0.3">
      <c r="A27" s="5"/>
      <c r="B27" s="23"/>
      <c r="C27" s="23"/>
      <c r="D27" s="23"/>
      <c r="E27" s="23"/>
      <c r="F27" s="23"/>
    </row>
    <row r="28" spans="1:6" x14ac:dyDescent="0.3">
      <c r="A28" s="1" t="s">
        <v>8</v>
      </c>
      <c r="B28" s="4"/>
      <c r="C28" s="4"/>
      <c r="D28" s="4"/>
      <c r="E28" s="4"/>
      <c r="F28" s="4"/>
    </row>
    <row r="29" spans="1:6" x14ac:dyDescent="0.3">
      <c r="A29" s="6" t="s">
        <v>55</v>
      </c>
      <c r="B29" s="4">
        <v>250000</v>
      </c>
      <c r="C29" s="4">
        <v>250000</v>
      </c>
      <c r="D29" s="4">
        <v>125000</v>
      </c>
      <c r="E29" s="4">
        <v>20000</v>
      </c>
      <c r="F29" s="4">
        <v>20000</v>
      </c>
    </row>
    <row r="30" spans="1:6" x14ac:dyDescent="0.3">
      <c r="A30" s="6" t="s">
        <v>56</v>
      </c>
      <c r="B30" s="4">
        <v>200000</v>
      </c>
      <c r="C30" s="4">
        <v>225000</v>
      </c>
      <c r="D30" s="4">
        <v>225000</v>
      </c>
      <c r="E30" s="4">
        <v>225000</v>
      </c>
      <c r="F30" s="4">
        <v>225000</v>
      </c>
    </row>
    <row r="31" spans="1:6" x14ac:dyDescent="0.3">
      <c r="A31" t="s">
        <v>57</v>
      </c>
      <c r="B31" s="4">
        <v>450000</v>
      </c>
      <c r="C31" s="4">
        <v>450000</v>
      </c>
      <c r="D31" s="4">
        <v>450000</v>
      </c>
      <c r="E31" s="4">
        <v>450000</v>
      </c>
      <c r="F31" s="4">
        <v>550000</v>
      </c>
    </row>
    <row r="32" spans="1:6" x14ac:dyDescent="0.3">
      <c r="A32" s="1" t="s">
        <v>9</v>
      </c>
      <c r="B32" s="4">
        <f>SUM(B29:B31)</f>
        <v>900000</v>
      </c>
      <c r="C32" s="4">
        <f>SUM(C29:C31)</f>
        <v>925000</v>
      </c>
      <c r="D32" s="4">
        <f>SUM(D29:D31)</f>
        <v>800000</v>
      </c>
      <c r="E32" s="4">
        <f>SUM(E29:E31)</f>
        <v>695000</v>
      </c>
      <c r="F32" s="4">
        <f>SUM(F29:F31)</f>
        <v>795000</v>
      </c>
    </row>
    <row r="33" spans="1:6" x14ac:dyDescent="0.3">
      <c r="A33" s="1" t="s">
        <v>10</v>
      </c>
      <c r="B33" s="4">
        <f>B26+B32</f>
        <v>-44000</v>
      </c>
      <c r="C33" s="4">
        <f>C26+C32</f>
        <v>313000</v>
      </c>
      <c r="D33" s="4">
        <f>D26+D32</f>
        <v>284925</v>
      </c>
      <c r="E33" s="4">
        <f>E26+E32</f>
        <v>276773.125</v>
      </c>
      <c r="F33" s="4">
        <f>F26+F32</f>
        <v>473542.45312500012</v>
      </c>
    </row>
    <row r="34" spans="1:6" x14ac:dyDescent="0.3">
      <c r="A34" s="5"/>
      <c r="B34" s="23"/>
      <c r="C34" s="23"/>
      <c r="D34" s="23"/>
      <c r="E34" s="23"/>
      <c r="F34" s="23"/>
    </row>
    <row r="35" spans="1:6" x14ac:dyDescent="0.3">
      <c r="A35" s="1" t="s">
        <v>11</v>
      </c>
      <c r="B35" s="4"/>
      <c r="C35" s="4"/>
      <c r="D35" s="4"/>
      <c r="E35" s="4"/>
      <c r="F35" s="4"/>
    </row>
    <row r="36" spans="1:6" x14ac:dyDescent="0.3">
      <c r="A36" s="7">
        <f>-B9</f>
        <v>-1158500</v>
      </c>
      <c r="B36" s="4">
        <f>B33/(1+A8)^0</f>
        <v>-44000</v>
      </c>
      <c r="C36" s="4">
        <f>C33/(1+A8)^1</f>
        <v>304356.2816024893</v>
      </c>
      <c r="D36" s="4">
        <f>D33/(1+A8)^2</f>
        <v>269405.47721262241</v>
      </c>
      <c r="E36" s="4">
        <f>E33/(1+A8)^3</f>
        <v>254470.6583626185</v>
      </c>
      <c r="F36" s="4">
        <f>F33/(1+A8)^4</f>
        <v>423360.80445802369</v>
      </c>
    </row>
    <row r="37" spans="1:6" x14ac:dyDescent="0.3">
      <c r="A37" s="1" t="s">
        <v>12</v>
      </c>
      <c r="B37" s="4">
        <f>A36+B36</f>
        <v>-1202500</v>
      </c>
      <c r="C37" s="4">
        <f>B37+C36</f>
        <v>-898143.7183975107</v>
      </c>
      <c r="D37" s="4">
        <f>C37+D36</f>
        <v>-628738.24118488829</v>
      </c>
      <c r="E37" s="4">
        <f>D37+E36</f>
        <v>-374267.58282226976</v>
      </c>
      <c r="F37" s="4">
        <f>E37+F36</f>
        <v>49093.221635753929</v>
      </c>
    </row>
    <row r="38" spans="1:6" x14ac:dyDescent="0.3">
      <c r="B38" s="4"/>
      <c r="C38" s="4"/>
      <c r="D38" s="4"/>
      <c r="E38" s="4"/>
      <c r="F38" s="4"/>
    </row>
    <row r="39" spans="1:6" x14ac:dyDescent="0.3">
      <c r="A39" s="26" t="s">
        <v>13</v>
      </c>
      <c r="B39" s="26"/>
      <c r="C39" s="26"/>
      <c r="D39" s="26"/>
      <c r="E39" s="26"/>
      <c r="F39" s="26"/>
    </row>
    <row r="40" spans="1:6" ht="18" thickBot="1" x14ac:dyDescent="0.4">
      <c r="A40" s="12" t="s">
        <v>15</v>
      </c>
      <c r="B40" s="10" t="s">
        <v>16</v>
      </c>
      <c r="C40" s="10" t="s">
        <v>17</v>
      </c>
      <c r="D40" s="11" t="s">
        <v>18</v>
      </c>
    </row>
    <row r="41" spans="1:6" ht="18.600000000000001" thickTop="1" thickBot="1" x14ac:dyDescent="0.4">
      <c r="A41" s="12" t="s">
        <v>14</v>
      </c>
      <c r="B41" s="8">
        <f>F37</f>
        <v>49093.221635753929</v>
      </c>
      <c r="C41" s="9">
        <f>DATE(2030,1,323)</f>
        <v>47806</v>
      </c>
      <c r="D41" s="22">
        <f>IRR(A45:F45)</f>
        <v>3.2127982165607305E-2</v>
      </c>
    </row>
    <row r="42" spans="1:6" ht="15" thickTop="1" x14ac:dyDescent="0.3"/>
    <row r="43" spans="1:6" x14ac:dyDescent="0.3">
      <c r="C43">
        <f>-E37/F36</f>
        <v>0.88403928488703176</v>
      </c>
      <c r="D43">
        <f>365*C43</f>
        <v>322.67433898376657</v>
      </c>
    </row>
    <row r="45" spans="1:6" x14ac:dyDescent="0.3">
      <c r="A45" s="24">
        <f>A36</f>
        <v>-1158500</v>
      </c>
      <c r="B45" s="24">
        <f t="shared" ref="B45:F45" si="3">B33</f>
        <v>-44000</v>
      </c>
      <c r="C45" s="24">
        <f>C33</f>
        <v>313000</v>
      </c>
      <c r="D45" s="24">
        <f t="shared" si="3"/>
        <v>284925</v>
      </c>
      <c r="E45" s="24">
        <f t="shared" si="3"/>
        <v>276773.125</v>
      </c>
      <c r="F45" s="24">
        <f t="shared" si="3"/>
        <v>473542.45312500012</v>
      </c>
    </row>
  </sheetData>
  <mergeCells count="1">
    <mergeCell ref="A39:F39"/>
  </mergeCells>
  <pageMargins left="0.7" right="0.7" top="0.75" bottom="0.75" header="0.3" footer="0.3"/>
  <pageSetup paperSize="9" orientation="portrait" r:id="rId1"/>
  <ignoredErrors>
    <ignoredError sqref="D36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64776-9278-4E1A-9D65-0A3460E84051}">
  <dimension ref="A1:F42"/>
  <sheetViews>
    <sheetView topLeftCell="A17" workbookViewId="0">
      <selection activeCell="F40" sqref="F40"/>
    </sheetView>
  </sheetViews>
  <sheetFormatPr defaultColWidth="0" defaultRowHeight="15" customHeight="1" x14ac:dyDescent="0.3"/>
  <cols>
    <col min="1" max="1" width="32.77734375" bestFit="1" customWidth="1"/>
    <col min="2" max="2" width="15.6640625" customWidth="1"/>
    <col min="3" max="4" width="13.44140625" bestFit="1" customWidth="1"/>
    <col min="5" max="6" width="15.6640625" customWidth="1"/>
    <col min="7" max="16383" width="9.109375" hidden="1"/>
    <col min="16384" max="16384" width="9.109375" hidden="1" customWidth="1"/>
  </cols>
  <sheetData>
    <row r="1" spans="1:6" ht="14.4" x14ac:dyDescent="0.3">
      <c r="A1" s="2" t="s">
        <v>0</v>
      </c>
      <c r="B1" s="2">
        <f ca="1">YEAR(NOW())+1</f>
        <v>2026</v>
      </c>
      <c r="C1" s="2">
        <f ca="1">YEAR(NOW())+2</f>
        <v>2027</v>
      </c>
      <c r="D1" s="2">
        <f ca="1">YEAR(NOW())+3</f>
        <v>2028</v>
      </c>
      <c r="E1" s="2">
        <f ca="1">YEAR(NOW())+4</f>
        <v>2029</v>
      </c>
      <c r="F1" s="2">
        <f ca="1">YEAR(NOW())+5</f>
        <v>2030</v>
      </c>
    </row>
    <row r="2" spans="1:6" ht="14.4" x14ac:dyDescent="0.3">
      <c r="A2" s="1" t="s">
        <v>1</v>
      </c>
      <c r="B2" s="4"/>
    </row>
    <row r="3" spans="1:6" ht="14.4" x14ac:dyDescent="0.3">
      <c r="A3" t="s">
        <v>58</v>
      </c>
      <c r="B3" s="4">
        <v>35000</v>
      </c>
    </row>
    <row r="4" spans="1:6" ht="14.4" x14ac:dyDescent="0.3">
      <c r="A4" t="s">
        <v>59</v>
      </c>
      <c r="B4" s="4">
        <v>188000</v>
      </c>
    </row>
    <row r="5" spans="1:6" ht="14.4" x14ac:dyDescent="0.3">
      <c r="A5" t="s">
        <v>60</v>
      </c>
      <c r="B5" s="4">
        <v>45000</v>
      </c>
    </row>
    <row r="6" spans="1:6" ht="14.4" x14ac:dyDescent="0.3">
      <c r="B6" s="4"/>
    </row>
    <row r="7" spans="1:6" ht="14.4" x14ac:dyDescent="0.3">
      <c r="A7" s="3">
        <v>3.9399999999999998E-2</v>
      </c>
      <c r="B7" s="4"/>
    </row>
    <row r="8" spans="1:6" ht="14.4" x14ac:dyDescent="0.3">
      <c r="A8" s="1" t="s">
        <v>2</v>
      </c>
      <c r="B8" s="4">
        <f>SUM(B3:B7)</f>
        <v>268000</v>
      </c>
    </row>
    <row r="9" spans="1:6" ht="14.4" x14ac:dyDescent="0.3">
      <c r="A9" s="5"/>
      <c r="B9" s="5"/>
      <c r="C9" s="5"/>
      <c r="D9" s="5"/>
      <c r="E9" s="5"/>
      <c r="F9" s="5"/>
    </row>
    <row r="10" spans="1:6" ht="14.4" x14ac:dyDescent="0.3">
      <c r="A10" s="1" t="s">
        <v>3</v>
      </c>
    </row>
    <row r="11" spans="1:6" ht="14.4" x14ac:dyDescent="0.3">
      <c r="B11" s="4"/>
      <c r="C11" s="4"/>
      <c r="D11" s="4"/>
      <c r="E11" s="4"/>
      <c r="F11" s="4"/>
    </row>
    <row r="12" spans="1:6" ht="14.4" x14ac:dyDescent="0.3">
      <c r="B12" s="4"/>
      <c r="C12" s="4"/>
      <c r="D12" s="4"/>
      <c r="E12" s="4"/>
      <c r="F12" s="4"/>
    </row>
    <row r="13" spans="1:6" ht="14.4" x14ac:dyDescent="0.3">
      <c r="B13" s="4"/>
      <c r="C13" s="4"/>
      <c r="D13" s="4"/>
      <c r="E13" s="4"/>
      <c r="F13" s="4"/>
    </row>
    <row r="14" spans="1:6" ht="14.4" x14ac:dyDescent="0.3">
      <c r="B14" s="4"/>
      <c r="C14" s="4"/>
      <c r="D14" s="4"/>
      <c r="E14" s="4"/>
      <c r="F14" s="4"/>
    </row>
    <row r="15" spans="1:6" ht="14.4" x14ac:dyDescent="0.3">
      <c r="A15" s="1" t="s">
        <v>4</v>
      </c>
      <c r="B15" s="4">
        <f>SUM(B11:B14)</f>
        <v>0</v>
      </c>
      <c r="C15" s="4">
        <f>SUM(C11:C14)</f>
        <v>0</v>
      </c>
      <c r="D15" s="4">
        <f t="shared" ref="D15:F15" si="0">SUM(D11:D14)</f>
        <v>0</v>
      </c>
      <c r="E15" s="4">
        <f t="shared" si="0"/>
        <v>0</v>
      </c>
      <c r="F15" s="4">
        <f t="shared" si="0"/>
        <v>0</v>
      </c>
    </row>
    <row r="16" spans="1:6" ht="14.4" x14ac:dyDescent="0.3">
      <c r="A16" s="5"/>
      <c r="B16" s="5"/>
      <c r="C16" s="5"/>
      <c r="D16" s="5"/>
      <c r="E16" s="5"/>
      <c r="F16" s="5"/>
    </row>
    <row r="17" spans="1:6" ht="14.4" x14ac:dyDescent="0.3">
      <c r="A17" s="1" t="s">
        <v>5</v>
      </c>
    </row>
    <row r="18" spans="1:6" ht="14.4" x14ac:dyDescent="0.3">
      <c r="A18" t="s">
        <v>61</v>
      </c>
      <c r="B18" s="4">
        <v>250000</v>
      </c>
      <c r="C18" s="4">
        <f>B18*1.005</f>
        <v>251249.99999999997</v>
      </c>
      <c r="D18" s="4">
        <f t="shared" ref="D18:F18" si="1">C18*1.005</f>
        <v>252506.24999999994</v>
      </c>
      <c r="E18" s="4">
        <f t="shared" si="1"/>
        <v>253768.78124999991</v>
      </c>
      <c r="F18" s="4">
        <f t="shared" si="1"/>
        <v>255037.62515624988</v>
      </c>
    </row>
    <row r="19" spans="1:6" ht="14.4" x14ac:dyDescent="0.3">
      <c r="A19" t="s">
        <v>62</v>
      </c>
      <c r="B19" s="4">
        <v>140000</v>
      </c>
      <c r="C19" s="4">
        <v>140000</v>
      </c>
      <c r="D19" s="4">
        <v>140000</v>
      </c>
      <c r="E19" s="4">
        <v>140000</v>
      </c>
      <c r="F19" s="4">
        <v>140000</v>
      </c>
    </row>
    <row r="20" spans="1:6" ht="14.4" x14ac:dyDescent="0.3">
      <c r="A20" t="s">
        <v>53</v>
      </c>
      <c r="B20" s="4">
        <v>225000</v>
      </c>
      <c r="C20" s="4">
        <v>225000</v>
      </c>
      <c r="D20" s="4">
        <v>225000</v>
      </c>
      <c r="E20" s="4">
        <v>225000</v>
      </c>
      <c r="F20" s="4">
        <v>225000</v>
      </c>
    </row>
    <row r="21" spans="1:6" ht="14.4" x14ac:dyDescent="0.3">
      <c r="B21" s="4"/>
      <c r="C21" s="4"/>
      <c r="D21" s="4"/>
      <c r="E21" s="4"/>
      <c r="F21" s="4"/>
    </row>
    <row r="22" spans="1:6" ht="14.4" x14ac:dyDescent="0.3">
      <c r="A22" s="1" t="s">
        <v>6</v>
      </c>
      <c r="B22" s="4">
        <f>SUM(B18:B21)</f>
        <v>615000</v>
      </c>
      <c r="C22" s="4">
        <f>SUM(C18:C21)</f>
        <v>616250</v>
      </c>
      <c r="D22" s="4">
        <f>SUM(D18:D21)</f>
        <v>617506.25</v>
      </c>
      <c r="E22" s="4">
        <f>SUM(E18:E21)</f>
        <v>618768.78124999988</v>
      </c>
      <c r="F22" s="4">
        <f>SUM(F18:F21)</f>
        <v>620037.62515624985</v>
      </c>
    </row>
    <row r="23" spans="1:6" ht="14.4" x14ac:dyDescent="0.3">
      <c r="A23" s="5"/>
      <c r="B23" s="5"/>
      <c r="C23" s="5"/>
      <c r="D23" s="5"/>
      <c r="E23" s="5"/>
      <c r="F23" s="5"/>
    </row>
    <row r="24" spans="1:6" ht="14.4" x14ac:dyDescent="0.3">
      <c r="A24" s="1" t="s">
        <v>7</v>
      </c>
      <c r="B24" s="4">
        <f>B15-B22</f>
        <v>-615000</v>
      </c>
      <c r="C24" s="4">
        <f>C15-C22</f>
        <v>-616250</v>
      </c>
      <c r="D24" s="4">
        <f>D15-D22</f>
        <v>-617506.25</v>
      </c>
      <c r="E24" s="4">
        <f>E15-E22</f>
        <v>-618768.78124999988</v>
      </c>
      <c r="F24" s="4">
        <f>F15-F22</f>
        <v>-620037.62515624985</v>
      </c>
    </row>
    <row r="25" spans="1:6" ht="14.4" x14ac:dyDescent="0.3">
      <c r="A25" s="5"/>
      <c r="B25" s="5"/>
      <c r="C25" s="5"/>
      <c r="D25" s="5"/>
      <c r="E25" s="5"/>
      <c r="F25" s="5"/>
    </row>
    <row r="26" spans="1:6" ht="14.4" x14ac:dyDescent="0.3">
      <c r="A26" s="1" t="s">
        <v>8</v>
      </c>
      <c r="B26" s="4"/>
      <c r="C26" s="4"/>
      <c r="D26" s="4"/>
      <c r="E26" s="4"/>
      <c r="F26" s="4"/>
    </row>
    <row r="27" spans="1:6" ht="14.4" x14ac:dyDescent="0.3">
      <c r="A27" s="6" t="s">
        <v>55</v>
      </c>
      <c r="B27" s="4">
        <v>700000</v>
      </c>
      <c r="C27" s="4">
        <v>630000</v>
      </c>
      <c r="D27" s="4">
        <v>570000</v>
      </c>
      <c r="E27" s="4">
        <v>512000</v>
      </c>
      <c r="F27" s="4">
        <v>460000</v>
      </c>
    </row>
    <row r="28" spans="1:6" ht="14.4" x14ac:dyDescent="0.3">
      <c r="A28" t="s">
        <v>56</v>
      </c>
      <c r="B28" s="4">
        <v>150000</v>
      </c>
      <c r="C28" s="4">
        <v>100000</v>
      </c>
      <c r="D28" s="4">
        <v>100000</v>
      </c>
      <c r="E28" s="4">
        <v>87000</v>
      </c>
      <c r="F28" s="4">
        <v>75000</v>
      </c>
    </row>
    <row r="29" spans="1:6" ht="14.4" x14ac:dyDescent="0.3">
      <c r="A29" s="1" t="s">
        <v>9</v>
      </c>
      <c r="B29" s="4">
        <f>SUM(B27:B28)</f>
        <v>850000</v>
      </c>
      <c r="C29" s="4">
        <f>SUM(C27:C28)</f>
        <v>730000</v>
      </c>
      <c r="D29" s="4">
        <f>SUM(D27:D28)</f>
        <v>670000</v>
      </c>
      <c r="E29" s="4">
        <f>SUM(E27:E28)</f>
        <v>599000</v>
      </c>
      <c r="F29" s="4">
        <f>SUM(F27:F28)</f>
        <v>535000</v>
      </c>
    </row>
    <row r="30" spans="1:6" ht="14.4" x14ac:dyDescent="0.3">
      <c r="A30" s="1" t="s">
        <v>10</v>
      </c>
      <c r="B30" s="4">
        <f>B24+B29</f>
        <v>235000</v>
      </c>
      <c r="C30" s="4">
        <f>C24+C29</f>
        <v>113750</v>
      </c>
      <c r="D30" s="4">
        <f>D24+D29</f>
        <v>52493.75</v>
      </c>
      <c r="E30" s="4">
        <f>E24+E29</f>
        <v>-19768.781249999884</v>
      </c>
      <c r="F30" s="4">
        <f>F24+F29</f>
        <v>-85037.625156249851</v>
      </c>
    </row>
    <row r="31" spans="1:6" ht="14.4" x14ac:dyDescent="0.3">
      <c r="A31" s="5"/>
      <c r="B31" s="5"/>
      <c r="C31" s="5"/>
      <c r="D31" s="5"/>
      <c r="E31" s="5"/>
      <c r="F31" s="5"/>
    </row>
    <row r="32" spans="1:6" ht="14.4" x14ac:dyDescent="0.3">
      <c r="A32" s="1" t="s">
        <v>11</v>
      </c>
    </row>
    <row r="33" spans="1:6" ht="14.4" x14ac:dyDescent="0.3">
      <c r="A33" s="7">
        <f>-B8</f>
        <v>-268000</v>
      </c>
      <c r="B33" s="24">
        <f>B30/(1+A7)^0</f>
        <v>235000</v>
      </c>
      <c r="C33" s="24">
        <f>C30/(1+A7)^1</f>
        <v>109438.137386954</v>
      </c>
      <c r="D33" s="24">
        <f>D30/(1+A7)^2</f>
        <v>48589.471309156936</v>
      </c>
      <c r="E33" s="24">
        <f>E30/(1+A7)^3</f>
        <v>-17604.826863857048</v>
      </c>
      <c r="F33" s="24">
        <f>F30/(1+A7)^4</f>
        <v>-72858.507951622916</v>
      </c>
    </row>
    <row r="34" spans="1:6" ht="14.4" x14ac:dyDescent="0.3">
      <c r="A34" s="1" t="s">
        <v>12</v>
      </c>
      <c r="B34" s="24">
        <f>A33+B33</f>
        <v>-33000</v>
      </c>
      <c r="C34" s="24">
        <f>B34+C33</f>
        <v>76438.137386953997</v>
      </c>
      <c r="D34" s="24">
        <f>C34+D33</f>
        <v>125027.60869611092</v>
      </c>
      <c r="E34" s="24">
        <f>D34+E33</f>
        <v>107422.78183225388</v>
      </c>
      <c r="F34" s="24">
        <f>E34+F33</f>
        <v>34564.273880630964</v>
      </c>
    </row>
    <row r="35" spans="1:6" ht="14.4" x14ac:dyDescent="0.3"/>
    <row r="36" spans="1:6" ht="14.4" x14ac:dyDescent="0.3">
      <c r="A36" s="26" t="s">
        <v>13</v>
      </c>
      <c r="B36" s="26"/>
      <c r="C36" s="26"/>
      <c r="D36" s="26"/>
      <c r="E36" s="26"/>
      <c r="F36" s="26"/>
    </row>
    <row r="37" spans="1:6" ht="18" thickBot="1" x14ac:dyDescent="0.4">
      <c r="A37" s="12" t="s">
        <v>15</v>
      </c>
      <c r="B37" s="10" t="s">
        <v>16</v>
      </c>
      <c r="C37" s="10" t="s">
        <v>17</v>
      </c>
      <c r="D37" s="11" t="s">
        <v>18</v>
      </c>
    </row>
    <row r="38" spans="1:6" ht="18.600000000000001" thickTop="1" thickBot="1" x14ac:dyDescent="0.4">
      <c r="A38" s="12" t="s">
        <v>14</v>
      </c>
      <c r="B38" s="8">
        <f>F34</f>
        <v>34564.273880630964</v>
      </c>
      <c r="C38" s="9">
        <f>DATE(2027,1,110)</f>
        <v>46497</v>
      </c>
      <c r="D38" s="25">
        <f>IRR(A42:F42)</f>
        <v>0.16688489739804568</v>
      </c>
    </row>
    <row r="39" spans="1:6" thickTop="1" x14ac:dyDescent="0.3"/>
    <row r="40" spans="1:6" ht="15" customHeight="1" x14ac:dyDescent="0.3">
      <c r="C40">
        <f>-B34/C33</f>
        <v>0.30154021978021983</v>
      </c>
      <c r="D40">
        <f>365*C40</f>
        <v>110.06218021978025</v>
      </c>
    </row>
    <row r="42" spans="1:6" ht="15" customHeight="1" x14ac:dyDescent="0.3">
      <c r="A42" s="24">
        <f>A33</f>
        <v>-268000</v>
      </c>
      <c r="B42" s="24">
        <f t="shared" ref="B42:F42" si="2">B30</f>
        <v>235000</v>
      </c>
      <c r="C42" s="24">
        <f t="shared" si="2"/>
        <v>113750</v>
      </c>
      <c r="D42" s="24">
        <f t="shared" si="2"/>
        <v>52493.75</v>
      </c>
      <c r="E42" s="24">
        <f t="shared" si="2"/>
        <v>-19768.781249999884</v>
      </c>
      <c r="F42" s="24">
        <f t="shared" si="2"/>
        <v>-85037.625156249851</v>
      </c>
    </row>
  </sheetData>
  <mergeCells count="1">
    <mergeCell ref="A36:F36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D474D-E42D-470C-B509-40D6E4154177}">
  <dimension ref="A1:F45"/>
  <sheetViews>
    <sheetView topLeftCell="A17" workbookViewId="0">
      <selection activeCell="E42" sqref="E42"/>
    </sheetView>
  </sheetViews>
  <sheetFormatPr defaultColWidth="0" defaultRowHeight="14.4" x14ac:dyDescent="0.3"/>
  <cols>
    <col min="1" max="1" width="32.77734375" bestFit="1" customWidth="1"/>
    <col min="2" max="6" width="15.6640625" customWidth="1"/>
    <col min="7" max="16383" width="9.109375" hidden="1"/>
    <col min="16384" max="16384" width="9.109375" hidden="1" customWidth="1"/>
  </cols>
  <sheetData>
    <row r="1" spans="1:6" x14ac:dyDescent="0.3">
      <c r="A1" s="2" t="s">
        <v>0</v>
      </c>
      <c r="B1" s="2">
        <f ca="1">YEAR(NOW())+1</f>
        <v>2026</v>
      </c>
      <c r="C1" s="2">
        <f ca="1">YEAR(NOW())+2</f>
        <v>2027</v>
      </c>
      <c r="D1" s="2">
        <f ca="1">YEAR(NOW())+3</f>
        <v>2028</v>
      </c>
      <c r="E1" s="2">
        <f ca="1">YEAR(NOW())+4</f>
        <v>2029</v>
      </c>
      <c r="F1" s="2">
        <f ca="1">YEAR(NOW())+5</f>
        <v>2030</v>
      </c>
    </row>
    <row r="2" spans="1:6" x14ac:dyDescent="0.3">
      <c r="A2" s="1" t="s">
        <v>1</v>
      </c>
    </row>
    <row r="3" spans="1:6" x14ac:dyDescent="0.3">
      <c r="A3" t="s">
        <v>63</v>
      </c>
      <c r="B3" s="4">
        <v>120000</v>
      </c>
    </row>
    <row r="4" spans="1:6" x14ac:dyDescent="0.3">
      <c r="A4" t="s">
        <v>43</v>
      </c>
      <c r="B4" s="4">
        <v>400000</v>
      </c>
    </row>
    <row r="5" spans="1:6" x14ac:dyDescent="0.3">
      <c r="B5" s="4"/>
    </row>
    <row r="6" spans="1:6" x14ac:dyDescent="0.3">
      <c r="B6" s="4"/>
    </row>
    <row r="7" spans="1:6" x14ac:dyDescent="0.3">
      <c r="A7" s="3">
        <v>2.0799999999999999E-2</v>
      </c>
      <c r="B7" s="4"/>
    </row>
    <row r="8" spans="1:6" x14ac:dyDescent="0.3">
      <c r="A8" s="1" t="s">
        <v>2</v>
      </c>
      <c r="B8" s="4">
        <f>SUM(B3:B7)</f>
        <v>520000</v>
      </c>
    </row>
    <row r="9" spans="1:6" x14ac:dyDescent="0.3">
      <c r="A9" s="5"/>
      <c r="B9" s="5"/>
      <c r="C9" s="5"/>
      <c r="D9" s="5"/>
      <c r="E9" s="5"/>
      <c r="F9" s="5"/>
    </row>
    <row r="10" spans="1:6" x14ac:dyDescent="0.3">
      <c r="A10" s="1" t="s">
        <v>3</v>
      </c>
    </row>
    <row r="11" spans="1:6" x14ac:dyDescent="0.3">
      <c r="B11" s="4"/>
      <c r="C11" s="4"/>
      <c r="D11" s="4"/>
      <c r="E11" s="4"/>
      <c r="F11" s="4"/>
    </row>
    <row r="12" spans="1:6" x14ac:dyDescent="0.3">
      <c r="B12" s="4"/>
      <c r="C12" s="4"/>
      <c r="D12" s="4"/>
      <c r="E12" s="4"/>
      <c r="F12" s="4"/>
    </row>
    <row r="13" spans="1:6" x14ac:dyDescent="0.3">
      <c r="B13" s="4"/>
      <c r="C13" s="4"/>
      <c r="D13" s="4"/>
      <c r="E13" s="4"/>
      <c r="F13" s="4"/>
    </row>
    <row r="14" spans="1:6" x14ac:dyDescent="0.3">
      <c r="B14" s="4"/>
      <c r="C14" s="4"/>
      <c r="D14" s="4"/>
      <c r="E14" s="4"/>
      <c r="F14" s="4"/>
    </row>
    <row r="15" spans="1:6" x14ac:dyDescent="0.3">
      <c r="A15" s="1" t="s">
        <v>4</v>
      </c>
      <c r="B15" s="4">
        <f>SUM(B11:B14)</f>
        <v>0</v>
      </c>
      <c r="C15" s="4">
        <f t="shared" ref="C15:F15" si="0">SUM(C11:C14)</f>
        <v>0</v>
      </c>
      <c r="D15" s="4">
        <f t="shared" si="0"/>
        <v>0</v>
      </c>
      <c r="E15" s="4">
        <f t="shared" si="0"/>
        <v>0</v>
      </c>
      <c r="F15" s="4">
        <f t="shared" si="0"/>
        <v>0</v>
      </c>
    </row>
    <row r="16" spans="1:6" x14ac:dyDescent="0.3">
      <c r="A16" s="5"/>
      <c r="B16" s="5"/>
      <c r="C16" s="5"/>
      <c r="D16" s="5"/>
      <c r="E16" s="5"/>
      <c r="F16" s="5"/>
    </row>
    <row r="17" spans="1:6" x14ac:dyDescent="0.3">
      <c r="A17" s="1" t="s">
        <v>5</v>
      </c>
    </row>
    <row r="18" spans="1:6" x14ac:dyDescent="0.3">
      <c r="A18" t="s">
        <v>50</v>
      </c>
      <c r="B18" s="4">
        <v>275000</v>
      </c>
      <c r="C18" s="4">
        <v>275000</v>
      </c>
      <c r="D18" s="4">
        <v>275000</v>
      </c>
      <c r="E18" s="4">
        <v>275000</v>
      </c>
      <c r="F18" s="4">
        <v>275000</v>
      </c>
    </row>
    <row r="19" spans="1:6" x14ac:dyDescent="0.3">
      <c r="A19" t="s">
        <v>52</v>
      </c>
      <c r="B19" s="4">
        <v>200000</v>
      </c>
      <c r="C19" s="4">
        <v>200000</v>
      </c>
      <c r="D19" s="4">
        <v>200000</v>
      </c>
      <c r="E19" s="4">
        <v>200000</v>
      </c>
      <c r="F19" s="4">
        <v>200000</v>
      </c>
    </row>
    <row r="20" spans="1:6" x14ac:dyDescent="0.3">
      <c r="A20" t="s">
        <v>53</v>
      </c>
      <c r="B20" s="4">
        <v>175000</v>
      </c>
      <c r="C20" s="4">
        <v>175000</v>
      </c>
      <c r="D20" s="4">
        <v>175000</v>
      </c>
      <c r="E20" s="4">
        <v>175000</v>
      </c>
      <c r="F20" s="4">
        <v>175000</v>
      </c>
    </row>
    <row r="21" spans="1:6" x14ac:dyDescent="0.3">
      <c r="B21" s="4"/>
      <c r="C21" s="4"/>
      <c r="D21" s="4"/>
      <c r="E21" s="4"/>
      <c r="F21" s="4"/>
    </row>
    <row r="22" spans="1:6" x14ac:dyDescent="0.3">
      <c r="A22" s="1" t="s">
        <v>6</v>
      </c>
      <c r="B22" s="4">
        <f>SUM(B18:B21)</f>
        <v>650000</v>
      </c>
      <c r="C22" s="4">
        <f>SUM(C18:C21)</f>
        <v>650000</v>
      </c>
      <c r="D22" s="4">
        <f>SUM(D18:D21)</f>
        <v>650000</v>
      </c>
      <c r="E22" s="4">
        <f>SUM(E18:E21)</f>
        <v>650000</v>
      </c>
      <c r="F22" s="4">
        <f>SUM(F18:F21)</f>
        <v>650000</v>
      </c>
    </row>
    <row r="23" spans="1:6" x14ac:dyDescent="0.3">
      <c r="A23" s="5"/>
      <c r="B23" s="5"/>
      <c r="C23" s="5"/>
      <c r="D23" s="5"/>
      <c r="E23" s="5"/>
      <c r="F23" s="5"/>
    </row>
    <row r="24" spans="1:6" x14ac:dyDescent="0.3">
      <c r="A24" s="1" t="s">
        <v>7</v>
      </c>
      <c r="B24" s="4">
        <f>B15-B22</f>
        <v>-650000</v>
      </c>
      <c r="C24" s="4">
        <f>C15-C22</f>
        <v>-650000</v>
      </c>
      <c r="D24" s="4">
        <f>D15-D22</f>
        <v>-650000</v>
      </c>
      <c r="E24" s="4">
        <f>E15-E22</f>
        <v>-650000</v>
      </c>
      <c r="F24" s="4">
        <f>F15-F22</f>
        <v>-650000</v>
      </c>
    </row>
    <row r="25" spans="1:6" x14ac:dyDescent="0.3">
      <c r="A25" s="5"/>
      <c r="B25" s="5"/>
      <c r="C25" s="5"/>
      <c r="D25" s="5"/>
      <c r="E25" s="5"/>
      <c r="F25" s="5"/>
    </row>
    <row r="26" spans="1:6" x14ac:dyDescent="0.3">
      <c r="A26" s="1" t="s">
        <v>8</v>
      </c>
      <c r="B26" s="4"/>
      <c r="C26" s="4"/>
      <c r="D26" s="4"/>
      <c r="E26" s="4"/>
      <c r="F26" s="4"/>
    </row>
    <row r="27" spans="1:6" x14ac:dyDescent="0.3">
      <c r="A27" s="6" t="s">
        <v>64</v>
      </c>
      <c r="B27" s="4">
        <v>265000</v>
      </c>
      <c r="C27" s="4">
        <f>B27*1.01</f>
        <v>267650</v>
      </c>
      <c r="D27" s="4">
        <f t="shared" ref="D27:F27" si="1">C27*1.01</f>
        <v>270326.5</v>
      </c>
      <c r="E27" s="4">
        <f t="shared" si="1"/>
        <v>273029.76500000001</v>
      </c>
      <c r="F27" s="4">
        <f t="shared" si="1"/>
        <v>275760.06265000004</v>
      </c>
    </row>
    <row r="28" spans="1:6" x14ac:dyDescent="0.3">
      <c r="A28" t="s">
        <v>65</v>
      </c>
      <c r="B28" s="4">
        <v>675000</v>
      </c>
      <c r="C28" s="4">
        <v>450000</v>
      </c>
      <c r="D28" s="4">
        <v>270000</v>
      </c>
      <c r="E28" s="4">
        <v>270000</v>
      </c>
      <c r="F28" s="4">
        <v>230000</v>
      </c>
    </row>
    <row r="29" spans="1:6" x14ac:dyDescent="0.3">
      <c r="A29" t="s">
        <v>66</v>
      </c>
      <c r="B29" s="4">
        <v>150000</v>
      </c>
      <c r="C29" s="4">
        <v>100000</v>
      </c>
      <c r="D29" s="4">
        <v>100000</v>
      </c>
      <c r="E29" s="4">
        <v>100000</v>
      </c>
      <c r="F29" s="4">
        <v>100000</v>
      </c>
    </row>
    <row r="30" spans="1:6" x14ac:dyDescent="0.3">
      <c r="A30" s="1" t="s">
        <v>9</v>
      </c>
      <c r="B30" s="4">
        <f>SUM(B27:B29)</f>
        <v>1090000</v>
      </c>
      <c r="C30" s="4">
        <f>SUM(C27:C29)</f>
        <v>817650</v>
      </c>
      <c r="D30" s="4">
        <f>SUM(D27:D29)</f>
        <v>640326.5</v>
      </c>
      <c r="E30" s="4">
        <f>SUM(E27:E29)</f>
        <v>643029.76500000001</v>
      </c>
      <c r="F30" s="4">
        <f>SUM(F27:F29)</f>
        <v>605760.06264999998</v>
      </c>
    </row>
    <row r="31" spans="1:6" x14ac:dyDescent="0.3">
      <c r="A31" s="1" t="s">
        <v>10</v>
      </c>
      <c r="B31" s="4">
        <f>B24+B30</f>
        <v>440000</v>
      </c>
      <c r="C31" s="4">
        <f>C24+C30</f>
        <v>167650</v>
      </c>
      <c r="D31" s="4">
        <f>D24+D30</f>
        <v>-9673.5</v>
      </c>
      <c r="E31" s="4">
        <f>E24+E30</f>
        <v>-6970.234999999986</v>
      </c>
      <c r="F31" s="4">
        <f>F24+F30</f>
        <v>-44239.937350000022</v>
      </c>
    </row>
    <row r="32" spans="1:6" x14ac:dyDescent="0.3">
      <c r="A32" s="5"/>
      <c r="B32" s="5"/>
      <c r="C32" s="5"/>
      <c r="D32" s="5"/>
      <c r="E32" s="5"/>
      <c r="F32" s="5"/>
    </row>
    <row r="33" spans="1:6" x14ac:dyDescent="0.3">
      <c r="A33" s="1" t="s">
        <v>11</v>
      </c>
    </row>
    <row r="34" spans="1:6" x14ac:dyDescent="0.3">
      <c r="A34" s="7">
        <f>-B8</f>
        <v>-520000</v>
      </c>
      <c r="B34" s="24">
        <f>B31/(1+A7)^0</f>
        <v>440000</v>
      </c>
      <c r="C34" s="24">
        <f>C31/(1+A7)^1</f>
        <v>164233.934169279</v>
      </c>
      <c r="D34" s="24">
        <f>D31/(1+A7)^2</f>
        <v>-9283.2984579062704</v>
      </c>
      <c r="E34" s="24">
        <f>E31/(1+A7)^3</f>
        <v>-6552.7777210750955</v>
      </c>
      <c r="F34" s="24">
        <f>F31/(1+A7)^4</f>
        <v>-40742.89247326331</v>
      </c>
    </row>
    <row r="35" spans="1:6" x14ac:dyDescent="0.3">
      <c r="A35" s="1" t="s">
        <v>12</v>
      </c>
      <c r="B35" s="24">
        <f>A34+B34</f>
        <v>-80000</v>
      </c>
      <c r="C35" s="24">
        <f>B35+C34</f>
        <v>84233.934169279004</v>
      </c>
      <c r="D35" s="24">
        <f>C35+D34</f>
        <v>74950.635711372728</v>
      </c>
      <c r="E35" s="24">
        <f>D35+E34</f>
        <v>68397.857990297634</v>
      </c>
      <c r="F35" s="24">
        <f>E35+F34</f>
        <v>27654.965517034325</v>
      </c>
    </row>
    <row r="37" spans="1:6" x14ac:dyDescent="0.3">
      <c r="A37" s="26" t="s">
        <v>13</v>
      </c>
      <c r="B37" s="26"/>
      <c r="C37" s="26"/>
      <c r="D37" s="26"/>
      <c r="E37" s="26"/>
      <c r="F37" s="26"/>
    </row>
    <row r="38" spans="1:6" ht="18" thickBot="1" x14ac:dyDescent="0.4">
      <c r="A38" s="12" t="s">
        <v>15</v>
      </c>
      <c r="B38" s="10" t="s">
        <v>16</v>
      </c>
      <c r="C38" s="10" t="s">
        <v>17</v>
      </c>
      <c r="D38" s="11" t="s">
        <v>18</v>
      </c>
    </row>
    <row r="39" spans="1:6" ht="18.600000000000001" thickTop="1" thickBot="1" x14ac:dyDescent="0.4">
      <c r="A39" s="12" t="s">
        <v>14</v>
      </c>
      <c r="B39" s="8">
        <f>F35</f>
        <v>27654.965517034325</v>
      </c>
      <c r="C39" s="9">
        <f>DATE(2027,1,178)</f>
        <v>46565</v>
      </c>
      <c r="D39" s="22">
        <f>IRR(A45:F45)</f>
        <v>5.4943425597188122E-2</v>
      </c>
    </row>
    <row r="40" spans="1:6" ht="15" hidden="1" thickTop="1" x14ac:dyDescent="0.3"/>
    <row r="41" spans="1:6" ht="15" thickTop="1" x14ac:dyDescent="0.3"/>
    <row r="42" spans="1:6" x14ac:dyDescent="0.3">
      <c r="C42">
        <f>-B35/C34</f>
        <v>0.48711005070086488</v>
      </c>
      <c r="D42">
        <f>365*C42</f>
        <v>177.7951685058157</v>
      </c>
    </row>
    <row r="45" spans="1:6" x14ac:dyDescent="0.3">
      <c r="A45" s="24">
        <f>A34</f>
        <v>-520000</v>
      </c>
      <c r="B45" s="24">
        <f t="shared" ref="B45:F45" si="2">B31</f>
        <v>440000</v>
      </c>
      <c r="C45" s="24">
        <f t="shared" si="2"/>
        <v>167650</v>
      </c>
      <c r="D45" s="24">
        <f t="shared" si="2"/>
        <v>-9673.5</v>
      </c>
      <c r="E45" s="24">
        <f t="shared" si="2"/>
        <v>-6970.234999999986</v>
      </c>
      <c r="F45" s="24">
        <f t="shared" si="2"/>
        <v>-44239.937350000022</v>
      </c>
    </row>
  </sheetData>
  <mergeCells count="1">
    <mergeCell ref="A37:F37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8F0FA-77CB-4BD2-84F3-258D9F97531A}">
  <dimension ref="A1:F48"/>
  <sheetViews>
    <sheetView tabSelected="1" topLeftCell="A30" zoomScale="120" zoomScaleNormal="120" workbookViewId="0">
      <selection activeCell="A38" sqref="A38:F48"/>
    </sheetView>
  </sheetViews>
  <sheetFormatPr defaultColWidth="0" defaultRowHeight="14.4" zeroHeight="1" x14ac:dyDescent="0.3"/>
  <cols>
    <col min="1" max="6" width="9.109375" customWidth="1"/>
    <col min="7" max="16384" width="9.109375" hidden="1"/>
  </cols>
  <sheetData>
    <row r="1" spans="1:6" ht="15.6" thickTop="1" thickBot="1" x14ac:dyDescent="0.35">
      <c r="A1" s="29" t="s">
        <v>31</v>
      </c>
      <c r="B1" s="29"/>
      <c r="C1" s="29"/>
      <c r="D1" s="29"/>
      <c r="E1" s="29"/>
      <c r="F1" s="29"/>
    </row>
    <row r="2" spans="1:6" ht="15" thickTop="1" x14ac:dyDescent="0.3">
      <c r="A2" s="26" t="s">
        <v>16</v>
      </c>
      <c r="B2" s="26"/>
      <c r="C2" s="26" t="s">
        <v>17</v>
      </c>
      <c r="D2" s="26"/>
      <c r="E2" s="30" t="s">
        <v>30</v>
      </c>
      <c r="F2" s="26"/>
    </row>
    <row r="3" spans="1:6" x14ac:dyDescent="0.3">
      <c r="A3" s="31">
        <f>'Situatie 1'!B41</f>
        <v>49093.221635753929</v>
      </c>
      <c r="B3" s="31"/>
      <c r="C3" s="32">
        <f>'Situatie 1'!C41</f>
        <v>47806</v>
      </c>
      <c r="D3" s="32"/>
      <c r="E3" s="33">
        <f>'Situatie 1'!D41</f>
        <v>3.2127982165607305E-2</v>
      </c>
      <c r="F3" s="33"/>
    </row>
    <row r="4" spans="1:6" ht="15" thickBot="1" x14ac:dyDescent="0.35"/>
    <row r="5" spans="1:6" ht="15.6" thickTop="1" thickBot="1" x14ac:dyDescent="0.35">
      <c r="A5" s="29" t="s">
        <v>32</v>
      </c>
      <c r="B5" s="29"/>
      <c r="C5" s="29"/>
      <c r="D5" s="29"/>
      <c r="E5" s="29"/>
      <c r="F5" s="29"/>
    </row>
    <row r="6" spans="1:6" ht="15" thickTop="1" x14ac:dyDescent="0.3">
      <c r="A6" s="26" t="s">
        <v>16</v>
      </c>
      <c r="B6" s="26"/>
      <c r="C6" s="26" t="s">
        <v>17</v>
      </c>
      <c r="D6" s="26"/>
      <c r="E6" s="30" t="s">
        <v>30</v>
      </c>
      <c r="F6" s="26"/>
    </row>
    <row r="7" spans="1:6" x14ac:dyDescent="0.3">
      <c r="A7" s="31">
        <f>'Situatie 2'!B38</f>
        <v>34564.273880630964</v>
      </c>
      <c r="B7" s="31"/>
      <c r="C7" s="32">
        <f>'Situatie 2'!C38</f>
        <v>46497</v>
      </c>
      <c r="D7" s="32"/>
      <c r="E7" s="33">
        <f>'Situatie 2'!D38</f>
        <v>0.16688489739804568</v>
      </c>
      <c r="F7" s="33"/>
    </row>
    <row r="8" spans="1:6" ht="15" thickBot="1" x14ac:dyDescent="0.35"/>
    <row r="9" spans="1:6" ht="15.6" thickTop="1" thickBot="1" x14ac:dyDescent="0.35">
      <c r="A9" s="29" t="s">
        <v>33</v>
      </c>
      <c r="B9" s="29"/>
      <c r="C9" s="29"/>
      <c r="D9" s="29"/>
      <c r="E9" s="29"/>
      <c r="F9" s="29"/>
    </row>
    <row r="10" spans="1:6" ht="15" thickTop="1" x14ac:dyDescent="0.3">
      <c r="A10" s="26" t="s">
        <v>16</v>
      </c>
      <c r="B10" s="26"/>
      <c r="C10" s="26" t="s">
        <v>17</v>
      </c>
      <c r="D10" s="26"/>
      <c r="E10" s="30" t="s">
        <v>30</v>
      </c>
      <c r="F10" s="26"/>
    </row>
    <row r="11" spans="1:6" x14ac:dyDescent="0.3">
      <c r="A11" s="31">
        <f>'Situatie 3'!B39</f>
        <v>27654.965517034325</v>
      </c>
      <c r="B11" s="31"/>
      <c r="C11" s="32">
        <f>'Situatie 3'!C39</f>
        <v>46565</v>
      </c>
      <c r="D11" s="32"/>
      <c r="E11" s="33">
        <f>'Situatie 3'!D39</f>
        <v>5.4943425597188122E-2</v>
      </c>
      <c r="F11" s="33"/>
    </row>
    <row r="12" spans="1:6" x14ac:dyDescent="0.3"/>
    <row r="13" spans="1:6" ht="54" customHeight="1" x14ac:dyDescent="0.3">
      <c r="A13" s="27" t="s">
        <v>34</v>
      </c>
      <c r="B13" s="27"/>
      <c r="C13" s="27"/>
      <c r="D13" s="27"/>
      <c r="E13" s="27"/>
      <c r="F13" s="27"/>
    </row>
    <row r="14" spans="1:6" x14ac:dyDescent="0.3">
      <c r="A14" s="28" t="s">
        <v>67</v>
      </c>
      <c r="B14" s="28"/>
      <c r="C14" s="28"/>
      <c r="D14" s="28"/>
      <c r="E14" s="28"/>
      <c r="F14" s="28"/>
    </row>
    <row r="15" spans="1:6" x14ac:dyDescent="0.3">
      <c r="A15" s="28"/>
      <c r="B15" s="28"/>
      <c r="C15" s="28"/>
      <c r="D15" s="28"/>
      <c r="E15" s="28"/>
      <c r="F15" s="28"/>
    </row>
    <row r="16" spans="1:6" x14ac:dyDescent="0.3">
      <c r="A16" s="28"/>
      <c r="B16" s="28"/>
      <c r="C16" s="28"/>
      <c r="D16" s="28"/>
      <c r="E16" s="28"/>
      <c r="F16" s="28"/>
    </row>
    <row r="17" spans="1:6" x14ac:dyDescent="0.3">
      <c r="A17" s="28"/>
      <c r="B17" s="28"/>
      <c r="C17" s="28"/>
      <c r="D17" s="28"/>
      <c r="E17" s="28"/>
      <c r="F17" s="28"/>
    </row>
    <row r="18" spans="1:6" x14ac:dyDescent="0.3">
      <c r="A18" s="28"/>
      <c r="B18" s="28"/>
      <c r="C18" s="28"/>
      <c r="D18" s="28"/>
      <c r="E18" s="28"/>
      <c r="F18" s="28"/>
    </row>
    <row r="19" spans="1:6" x14ac:dyDescent="0.3">
      <c r="A19" s="28"/>
      <c r="B19" s="28"/>
      <c r="C19" s="28"/>
      <c r="D19" s="28"/>
      <c r="E19" s="28"/>
      <c r="F19" s="28"/>
    </row>
    <row r="20" spans="1:6" x14ac:dyDescent="0.3">
      <c r="A20" s="28"/>
      <c r="B20" s="28"/>
      <c r="C20" s="28"/>
      <c r="D20" s="28"/>
      <c r="E20" s="28"/>
      <c r="F20" s="28"/>
    </row>
    <row r="21" spans="1:6" x14ac:dyDescent="0.3">
      <c r="A21" s="28"/>
      <c r="B21" s="28"/>
      <c r="C21" s="28"/>
      <c r="D21" s="28"/>
      <c r="E21" s="28"/>
      <c r="F21" s="28"/>
    </row>
    <row r="22" spans="1:6" x14ac:dyDescent="0.3">
      <c r="A22" s="28"/>
      <c r="B22" s="28"/>
      <c r="C22" s="28"/>
      <c r="D22" s="28"/>
      <c r="E22" s="28"/>
      <c r="F22" s="28"/>
    </row>
    <row r="23" spans="1:6" x14ac:dyDescent="0.3">
      <c r="A23" s="28"/>
      <c r="B23" s="28"/>
      <c r="C23" s="28"/>
      <c r="D23" s="28"/>
      <c r="E23" s="28"/>
      <c r="F23" s="28"/>
    </row>
    <row r="24" spans="1:6" x14ac:dyDescent="0.3">
      <c r="A24" s="28"/>
      <c r="B24" s="28"/>
      <c r="C24" s="28"/>
      <c r="D24" s="28"/>
      <c r="E24" s="28"/>
      <c r="F24" s="28"/>
    </row>
    <row r="25" spans="1:6" ht="67.5" customHeight="1" x14ac:dyDescent="0.3">
      <c r="A25" s="27" t="s">
        <v>35</v>
      </c>
      <c r="B25" s="27"/>
      <c r="C25" s="27"/>
      <c r="D25" s="27"/>
      <c r="E25" s="27"/>
      <c r="F25" s="27"/>
    </row>
    <row r="26" spans="1:6" x14ac:dyDescent="0.3">
      <c r="A26" s="28" t="s">
        <v>69</v>
      </c>
      <c r="B26" s="28"/>
      <c r="C26" s="28"/>
      <c r="D26" s="28"/>
      <c r="E26" s="28"/>
      <c r="F26" s="28"/>
    </row>
    <row r="27" spans="1:6" x14ac:dyDescent="0.3">
      <c r="A27" s="28"/>
      <c r="B27" s="28"/>
      <c r="C27" s="28"/>
      <c r="D27" s="28"/>
      <c r="E27" s="28"/>
      <c r="F27" s="28"/>
    </row>
    <row r="28" spans="1:6" x14ac:dyDescent="0.3">
      <c r="A28" s="28"/>
      <c r="B28" s="28"/>
      <c r="C28" s="28"/>
      <c r="D28" s="28"/>
      <c r="E28" s="28"/>
      <c r="F28" s="28"/>
    </row>
    <row r="29" spans="1:6" x14ac:dyDescent="0.3">
      <c r="A29" s="28"/>
      <c r="B29" s="28"/>
      <c r="C29" s="28"/>
      <c r="D29" s="28"/>
      <c r="E29" s="28"/>
      <c r="F29" s="28"/>
    </row>
    <row r="30" spans="1:6" x14ac:dyDescent="0.3">
      <c r="A30" s="28"/>
      <c r="B30" s="28"/>
      <c r="C30" s="28"/>
      <c r="D30" s="28"/>
      <c r="E30" s="28"/>
      <c r="F30" s="28"/>
    </row>
    <row r="31" spans="1:6" x14ac:dyDescent="0.3">
      <c r="A31" s="28"/>
      <c r="B31" s="28"/>
      <c r="C31" s="28"/>
      <c r="D31" s="28"/>
      <c r="E31" s="28"/>
      <c r="F31" s="28"/>
    </row>
    <row r="32" spans="1:6" x14ac:dyDescent="0.3">
      <c r="A32" s="28"/>
      <c r="B32" s="28"/>
      <c r="C32" s="28"/>
      <c r="D32" s="28"/>
      <c r="E32" s="28"/>
      <c r="F32" s="28"/>
    </row>
    <row r="33" spans="1:6" x14ac:dyDescent="0.3">
      <c r="A33" s="28"/>
      <c r="B33" s="28"/>
      <c r="C33" s="28"/>
      <c r="D33" s="28"/>
      <c r="E33" s="28"/>
      <c r="F33" s="28"/>
    </row>
    <row r="34" spans="1:6" x14ac:dyDescent="0.3">
      <c r="A34" s="28"/>
      <c r="B34" s="28"/>
      <c r="C34" s="28"/>
      <c r="D34" s="28"/>
      <c r="E34" s="28"/>
      <c r="F34" s="28"/>
    </row>
    <row r="35" spans="1:6" x14ac:dyDescent="0.3">
      <c r="A35" s="28"/>
      <c r="B35" s="28"/>
      <c r="C35" s="28"/>
      <c r="D35" s="28"/>
      <c r="E35" s="28"/>
      <c r="F35" s="28"/>
    </row>
    <row r="36" spans="1:6" x14ac:dyDescent="0.3">
      <c r="A36" s="28"/>
      <c r="B36" s="28"/>
      <c r="C36" s="28"/>
      <c r="D36" s="28"/>
      <c r="E36" s="28"/>
      <c r="F36" s="28"/>
    </row>
    <row r="37" spans="1:6" ht="51.75" customHeight="1" x14ac:dyDescent="0.3">
      <c r="A37" s="27" t="s">
        <v>36</v>
      </c>
      <c r="B37" s="27"/>
      <c r="C37" s="27"/>
      <c r="D37" s="27"/>
      <c r="E37" s="27"/>
      <c r="F37" s="27"/>
    </row>
    <row r="38" spans="1:6" x14ac:dyDescent="0.3">
      <c r="A38" s="28" t="s">
        <v>68</v>
      </c>
      <c r="B38" s="28"/>
      <c r="C38" s="28"/>
      <c r="D38" s="28"/>
      <c r="E38" s="28"/>
      <c r="F38" s="28"/>
    </row>
    <row r="39" spans="1:6" x14ac:dyDescent="0.3">
      <c r="A39" s="28"/>
      <c r="B39" s="28"/>
      <c r="C39" s="28"/>
      <c r="D39" s="28"/>
      <c r="E39" s="28"/>
      <c r="F39" s="28"/>
    </row>
    <row r="40" spans="1:6" x14ac:dyDescent="0.3">
      <c r="A40" s="28"/>
      <c r="B40" s="28"/>
      <c r="C40" s="28"/>
      <c r="D40" s="28"/>
      <c r="E40" s="28"/>
      <c r="F40" s="28"/>
    </row>
    <row r="41" spans="1:6" x14ac:dyDescent="0.3">
      <c r="A41" s="28"/>
      <c r="B41" s="28"/>
      <c r="C41" s="28"/>
      <c r="D41" s="28"/>
      <c r="E41" s="28"/>
      <c r="F41" s="28"/>
    </row>
    <row r="42" spans="1:6" x14ac:dyDescent="0.3">
      <c r="A42" s="28"/>
      <c r="B42" s="28"/>
      <c r="C42" s="28"/>
      <c r="D42" s="28"/>
      <c r="E42" s="28"/>
      <c r="F42" s="28"/>
    </row>
    <row r="43" spans="1:6" x14ac:dyDescent="0.3">
      <c r="A43" s="28"/>
      <c r="B43" s="28"/>
      <c r="C43" s="28"/>
      <c r="D43" s="28"/>
      <c r="E43" s="28"/>
      <c r="F43" s="28"/>
    </row>
    <row r="44" spans="1:6" x14ac:dyDescent="0.3">
      <c r="A44" s="28"/>
      <c r="B44" s="28"/>
      <c r="C44" s="28"/>
      <c r="D44" s="28"/>
      <c r="E44" s="28"/>
      <c r="F44" s="28"/>
    </row>
    <row r="45" spans="1:6" x14ac:dyDescent="0.3">
      <c r="A45" s="28"/>
      <c r="B45" s="28"/>
      <c r="C45" s="28"/>
      <c r="D45" s="28"/>
      <c r="E45" s="28"/>
      <c r="F45" s="28"/>
    </row>
    <row r="46" spans="1:6" x14ac:dyDescent="0.3">
      <c r="A46" s="28"/>
      <c r="B46" s="28"/>
      <c r="C46" s="28"/>
      <c r="D46" s="28"/>
      <c r="E46" s="28"/>
      <c r="F46" s="28"/>
    </row>
    <row r="47" spans="1:6" x14ac:dyDescent="0.3">
      <c r="A47" s="28"/>
      <c r="B47" s="28"/>
      <c r="C47" s="28"/>
      <c r="D47" s="28"/>
      <c r="E47" s="28"/>
      <c r="F47" s="28"/>
    </row>
    <row r="48" spans="1:6" x14ac:dyDescent="0.3">
      <c r="A48" s="28"/>
      <c r="B48" s="28"/>
      <c r="C48" s="28"/>
      <c r="D48" s="28"/>
      <c r="E48" s="28"/>
      <c r="F48" s="28"/>
    </row>
  </sheetData>
  <mergeCells count="27">
    <mergeCell ref="A1:F1"/>
    <mergeCell ref="A2:B2"/>
    <mergeCell ref="C2:D2"/>
    <mergeCell ref="E2:F2"/>
    <mergeCell ref="A3:B3"/>
    <mergeCell ref="C3:D3"/>
    <mergeCell ref="E3:F3"/>
    <mergeCell ref="A5:F5"/>
    <mergeCell ref="A6:B6"/>
    <mergeCell ref="C6:D6"/>
    <mergeCell ref="E6:F6"/>
    <mergeCell ref="A7:B7"/>
    <mergeCell ref="C7:D7"/>
    <mergeCell ref="E7:F7"/>
    <mergeCell ref="A13:F13"/>
    <mergeCell ref="A14:F24"/>
    <mergeCell ref="A37:F37"/>
    <mergeCell ref="A38:F48"/>
    <mergeCell ref="A9:F9"/>
    <mergeCell ref="A10:B10"/>
    <mergeCell ref="C10:D10"/>
    <mergeCell ref="E10:F10"/>
    <mergeCell ref="A11:B11"/>
    <mergeCell ref="C11:D11"/>
    <mergeCell ref="E11:F11"/>
    <mergeCell ref="A25:F25"/>
    <mergeCell ref="A26:F3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DA537-F86A-462E-9BDB-8CEA14404072}">
  <dimension ref="A1:P17"/>
  <sheetViews>
    <sheetView workbookViewId="0">
      <selection activeCell="G8" sqref="G8"/>
    </sheetView>
  </sheetViews>
  <sheetFormatPr defaultColWidth="0" defaultRowHeight="23.4" zeroHeight="1" x14ac:dyDescent="0.45"/>
  <cols>
    <col min="1" max="1" width="11.6640625" customWidth="1"/>
    <col min="2" max="2" width="10.44140625" style="21" customWidth="1"/>
    <col min="3" max="3" width="9.109375" style="21" customWidth="1"/>
    <col min="4" max="16" width="9.109375" customWidth="1"/>
    <col min="17" max="16384" width="9.109375" hidden="1"/>
  </cols>
  <sheetData>
    <row r="1" spans="1:16" ht="20.399999999999999" thickBot="1" x14ac:dyDescent="0.45">
      <c r="A1" s="13" t="s">
        <v>20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1:16" ht="18" thickTop="1" x14ac:dyDescent="0.3">
      <c r="A2" s="15" t="s">
        <v>37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</row>
    <row r="3" spans="1:16" ht="17.399999999999999" x14ac:dyDescent="0.3">
      <c r="A3" s="15" t="s">
        <v>21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</row>
    <row r="4" spans="1:16" ht="15.6" x14ac:dyDescent="0.3">
      <c r="A4" s="16" t="s">
        <v>22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</row>
    <row r="5" spans="1:16" ht="14.4" x14ac:dyDescent="0.3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</row>
    <row r="6" spans="1:16" ht="21" x14ac:dyDescent="0.3">
      <c r="A6" s="17" t="s">
        <v>38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</row>
    <row r="7" spans="1:16" ht="15.6" x14ac:dyDescent="0.3">
      <c r="A7" s="18" t="s">
        <v>26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</row>
    <row r="8" spans="1:16" ht="15.6" x14ac:dyDescent="0.3">
      <c r="A8" s="19" t="s">
        <v>27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</row>
    <row r="9" spans="1:16" ht="15.6" x14ac:dyDescent="0.3">
      <c r="A9" s="19" t="s">
        <v>23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</row>
    <row r="10" spans="1:16" ht="15.6" x14ac:dyDescent="0.3">
      <c r="A10" s="19" t="s">
        <v>39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</row>
    <row r="11" spans="1:16" ht="15.6" x14ac:dyDescent="0.3">
      <c r="A11" s="18" t="s">
        <v>24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</row>
    <row r="12" spans="1:16" ht="15.6" x14ac:dyDescent="0.3">
      <c r="A12" s="19" t="s">
        <v>25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</row>
    <row r="13" spans="1:16" ht="14.4" x14ac:dyDescent="0.3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</row>
    <row r="14" spans="1:16" ht="14.4" x14ac:dyDescent="0.3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</row>
    <row r="15" spans="1:16" x14ac:dyDescent="0.45">
      <c r="A15" s="20" t="s">
        <v>19</v>
      </c>
      <c r="B15" s="34">
        <v>0.35416666666666669</v>
      </c>
      <c r="C15" s="35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</row>
    <row r="16" spans="1:16" x14ac:dyDescent="0.45">
      <c r="A16" s="20" t="s">
        <v>29</v>
      </c>
      <c r="B16" s="36">
        <v>45981</v>
      </c>
      <c r="C16" s="35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</row>
    <row r="17" spans="1:16" x14ac:dyDescent="0.45">
      <c r="A17" s="20" t="s">
        <v>28</v>
      </c>
      <c r="B17" s="35" t="s">
        <v>40</v>
      </c>
      <c r="C17" s="35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</row>
  </sheetData>
  <sheetProtection formatCells="0" formatColumns="0" formatRows="0" insertColumns="0" insertRows="0" insertHyperlinks="0" deleteColumns="0" deleteRows="0" sort="0" autoFilter="0" pivotTables="0"/>
  <mergeCells count="3">
    <mergeCell ref="B15:C15"/>
    <mergeCell ref="B16:C16"/>
    <mergeCell ref="B17:C17"/>
  </mergeCells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0bff66c5-45db-46ed-8b81-87959e069b90}" enabled="0" method="" siteId="{0bff66c5-45db-46ed-8b81-87959e069b9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5</vt:i4>
      </vt:variant>
    </vt:vector>
  </HeadingPairs>
  <TitlesOfParts>
    <vt:vector size="5" baseType="lpstr">
      <vt:lpstr>Situatie 1</vt:lpstr>
      <vt:lpstr>Situatie 2</vt:lpstr>
      <vt:lpstr>Situatie 3</vt:lpstr>
      <vt:lpstr>Conclusie</vt:lpstr>
      <vt:lpstr>PE Gegevens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Lowie Vangaal</dc:creator>
  <cp:lastModifiedBy>GertJan Bollen</cp:lastModifiedBy>
  <dcterms:created xsi:type="dcterms:W3CDTF">2015-06-05T18:19:34Z</dcterms:created>
  <dcterms:modified xsi:type="dcterms:W3CDTF">2025-11-20T09:11:31Z</dcterms:modified>
</cp:coreProperties>
</file>